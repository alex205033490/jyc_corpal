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GUIDI\Downloads\"/>
    </mc:Choice>
  </mc:AlternateContent>
  <xr:revisionPtr revIDLastSave="0" documentId="8_{27237646-2375-4A06-A624-5417790C34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a de Precios" sheetId="1" r:id="rId1"/>
    <sheet name="Categoria de Clientes" sheetId="2" r:id="rId2"/>
  </sheets>
  <definedNames>
    <definedName name="_xlnm._FilterDatabase" localSheetId="0" hidden="1">'Lista de Precios'!$C$5:$J$41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" l="1"/>
  <c r="I22" i="1"/>
  <c r="J15" i="1"/>
  <c r="I15" i="1" s="1"/>
  <c r="I17" i="1"/>
  <c r="I36" i="1"/>
  <c r="I18" i="1"/>
  <c r="I19" i="1"/>
  <c r="I10" i="1"/>
  <c r="I9" i="1"/>
  <c r="I8" i="1"/>
  <c r="I14" i="1"/>
  <c r="I13" i="1"/>
  <c r="I12" i="1"/>
  <c r="I11" i="1"/>
  <c r="I6" i="1"/>
  <c r="I39" i="1"/>
  <c r="I37" i="1"/>
  <c r="I16" i="1"/>
  <c r="I38" i="1"/>
  <c r="I7" i="1"/>
  <c r="I40" i="1"/>
  <c r="I35" i="1"/>
  <c r="I34" i="1"/>
  <c r="I33" i="1"/>
  <c r="I32" i="1"/>
  <c r="I24" i="1"/>
  <c r="I27" i="1"/>
  <c r="I25" i="1"/>
  <c r="I41" i="1"/>
  <c r="I31" i="1"/>
  <c r="I30" i="1"/>
  <c r="I29" i="1"/>
  <c r="I28" i="1"/>
  <c r="I20" i="1"/>
  <c r="I23" i="1"/>
  <c r="I21" i="1"/>
</calcChain>
</file>

<file path=xl/sharedStrings.xml><?xml version="1.0" encoding="utf-8"?>
<sst xmlns="http://schemas.openxmlformats.org/spreadsheetml/2006/main" count="539" uniqueCount="202">
  <si>
    <t>Producto</t>
  </si>
  <si>
    <t>Sabor</t>
  </si>
  <si>
    <t>Nachonax 12x12x 45g</t>
  </si>
  <si>
    <t>Picante</t>
  </si>
  <si>
    <t>Salado</t>
  </si>
  <si>
    <t>Queso</t>
  </si>
  <si>
    <t>Papanax 12x12x 25g</t>
  </si>
  <si>
    <t>Salada</t>
  </si>
  <si>
    <t>Fuego</t>
  </si>
  <si>
    <t>Churrasco</t>
  </si>
  <si>
    <t>MixNax 8x8x 45g</t>
  </si>
  <si>
    <t>Clasico</t>
  </si>
  <si>
    <t>Tocinax 5x12x35g</t>
  </si>
  <si>
    <t>Boohoo Crunchy 12x12x 35g</t>
  </si>
  <si>
    <t>Boohoo Conchita 8x12x 30g</t>
  </si>
  <si>
    <t>Jamon</t>
  </si>
  <si>
    <t>Boohoo Puff 6x12x 26g</t>
  </si>
  <si>
    <t>Nachonax 200g</t>
  </si>
  <si>
    <t>Papanax 110g</t>
  </si>
  <si>
    <t>MixNax 120g</t>
  </si>
  <si>
    <t>Tocinax 120g</t>
  </si>
  <si>
    <t>Boohoo Conchita 150g</t>
  </si>
  <si>
    <t>Boohoo Puff 120g</t>
  </si>
  <si>
    <t xml:space="preserve">Pipanax 11x25x 50g </t>
  </si>
  <si>
    <t>Clasica</t>
  </si>
  <si>
    <t>Megablon 16x30 x 13g</t>
  </si>
  <si>
    <t>Vainilla</t>
  </si>
  <si>
    <t>Escuelin 12x60x28g</t>
  </si>
  <si>
    <t>Chocolate</t>
  </si>
  <si>
    <t>Pippox 5x21x 20g</t>
  </si>
  <si>
    <t>Mantequilla</t>
  </si>
  <si>
    <t>Precio Lista</t>
  </si>
  <si>
    <t>DIVECO</t>
  </si>
  <si>
    <t>NAX</t>
  </si>
  <si>
    <t>Codigo</t>
  </si>
  <si>
    <t>Cliente</t>
  </si>
  <si>
    <t>Categoria</t>
  </si>
  <si>
    <t>VILLAR TAQUITO</t>
  </si>
  <si>
    <t>VILLAR TAQUITO (LA PAZ)</t>
  </si>
  <si>
    <t>JOSHUA FLORIDO PONCE COCHABAMBA</t>
  </si>
  <si>
    <t>DISTRIBUIDOR A</t>
  </si>
  <si>
    <t>LIMBER LEON DISTRIBUIDOR POTOSI</t>
  </si>
  <si>
    <t>NELSON CRUZ YUJRA CHUQUISACA</t>
  </si>
  <si>
    <t>JUAN VILLANUEVA CHUQUISACA</t>
  </si>
  <si>
    <t>CARLOS JURI TARIJA</t>
  </si>
  <si>
    <t>DOLY MUÑOS</t>
  </si>
  <si>
    <t>OSCAR CONDORI ROQUE</t>
  </si>
  <si>
    <t>ACTRA LTDA</t>
  </si>
  <si>
    <t>CARLOS LEIVA</t>
  </si>
  <si>
    <t>SERGIO ARIEL HUASABE ESPINOZA</t>
  </si>
  <si>
    <t>DISTRIBUIDOR B</t>
  </si>
  <si>
    <t>ELIAS CASERES TARIJA</t>
  </si>
  <si>
    <t>HIPERMAXI 1RO DE MAYO</t>
  </si>
  <si>
    <t>HIPERMAXI 3 PASOS</t>
  </si>
  <si>
    <t>HIPERMAXI BENI</t>
  </si>
  <si>
    <t>HIPERMAXI BLACUTT</t>
  </si>
  <si>
    <t>HIPERMAXI CAMBODROMO</t>
  </si>
  <si>
    <t>HIPERMAXI CAÑOTO</t>
  </si>
  <si>
    <t>HIPERMAXI CENTRO</t>
  </si>
  <si>
    <t>HIPERMAXI EQUIPETROL</t>
  </si>
  <si>
    <t>HIPERMAXI FLORIDA</t>
  </si>
  <si>
    <t>HIPERMAXI GUARDIA</t>
  </si>
  <si>
    <t>HIPERMAXI LAS BRISAS</t>
  </si>
  <si>
    <t>HIPERMAXI MONTERO</t>
  </si>
  <si>
    <t>HIPERMAXI MUTUALISTA</t>
  </si>
  <si>
    <t>HIPERMAXI NORTE</t>
  </si>
  <si>
    <t>HIPERMAXI PALMAS</t>
  </si>
  <si>
    <t>HIPERMAXI PAMPA DE LA ISLA</t>
  </si>
  <si>
    <t>SUPERMERCADO</t>
  </si>
  <si>
    <t>HIPERMAXI PIRAI</t>
  </si>
  <si>
    <t>HIPERMAXI PLAN 3.000</t>
  </si>
  <si>
    <t>HIPERMAXI RADIAL 26</t>
  </si>
  <si>
    <t>HIPERMAXI ROCA Y CORONADO</t>
  </si>
  <si>
    <t>HIPERMAXI SUPER CENTER</t>
  </si>
  <si>
    <t>HIPERMAXI SUR</t>
  </si>
  <si>
    <t>HIPERMAXI TRES PASOS</t>
  </si>
  <si>
    <t>IC NORTE</t>
  </si>
  <si>
    <t>SUPERMERCADO DEL SUR LTDA</t>
  </si>
  <si>
    <t>SUPERMERCADO TIA 24 DE SEPTIEMBRE</t>
  </si>
  <si>
    <t>SUPERMERCADO TIA ALEMANA</t>
  </si>
  <si>
    <t>SUPERMERCADO TIA BENI</t>
  </si>
  <si>
    <t>SUPERMERCADO TIA VENTURA MALL</t>
  </si>
  <si>
    <t>SUPERMERCADO TIA VIRGEN DE COTOCA</t>
  </si>
  <si>
    <t>SUPERMERCADOS MIXTURA SRL</t>
  </si>
  <si>
    <t>TIENDAS 3B</t>
  </si>
  <si>
    <t>FIDALGA COTOCA</t>
  </si>
  <si>
    <t>FIDALGA EKKO</t>
  </si>
  <si>
    <t>FIDALGA EQUIPETROL</t>
  </si>
  <si>
    <t>FIDALGA HAMACAS</t>
  </si>
  <si>
    <t>FIDALGA LA SALLE</t>
  </si>
  <si>
    <t>FIDALGA MACRO</t>
  </si>
  <si>
    <t>FIDALGA REYES</t>
  </si>
  <si>
    <t>FIDALGA SUR</t>
  </si>
  <si>
    <t>FIDALGA TROMPILLO</t>
  </si>
  <si>
    <t>FIDALGA URUBO</t>
  </si>
  <si>
    <t>FIDANORTE BARRIO NORTE</t>
  </si>
  <si>
    <t>FIDASUR BENI</t>
  </si>
  <si>
    <t>FIDASUR EL BOSQUE</t>
  </si>
  <si>
    <t>FIDASUR JARDINES</t>
  </si>
  <si>
    <t>FIDASUR MIA PLAZA</t>
  </si>
  <si>
    <t>FIDASUR PINATAR</t>
  </si>
  <si>
    <t>FIDASUR RIVIERA 1</t>
  </si>
  <si>
    <t>FIDASUR RIVIERA 2</t>
  </si>
  <si>
    <t>FIDASUR STRIP MALL</t>
  </si>
  <si>
    <t>FIDASUR TERRAZAS 2</t>
  </si>
  <si>
    <t>FIDASUR URUBO EXPRESS</t>
  </si>
  <si>
    <t>FIDASUR VISTA VERDE</t>
  </si>
  <si>
    <t>FARMACORP SA</t>
  </si>
  <si>
    <t>DELIVERYHERO</t>
  </si>
  <si>
    <t>ELDA INVERSIONES SRL</t>
  </si>
  <si>
    <t>UM Lista</t>
  </si>
  <si>
    <t>UM Fraccionadas</t>
  </si>
  <si>
    <t>Precio UM Fraccionada</t>
  </si>
  <si>
    <t>Caja</t>
  </si>
  <si>
    <t>Jaba</t>
  </si>
  <si>
    <t>Tira</t>
  </si>
  <si>
    <t>Unidad</t>
  </si>
  <si>
    <t>Paquete</t>
  </si>
  <si>
    <t>UM Fraccionada /  UM Lista</t>
  </si>
  <si>
    <t xml:space="preserve">Pipanax 15x30x 50g </t>
  </si>
  <si>
    <t>Pipanax 12x12x 50g</t>
  </si>
  <si>
    <t>Galleta Chips de Chocolate</t>
  </si>
  <si>
    <t>Boohoo</t>
  </si>
  <si>
    <t>Chocolatados</t>
  </si>
  <si>
    <t>Pippox</t>
  </si>
  <si>
    <t>Galletas</t>
  </si>
  <si>
    <t>DIST A</t>
  </si>
  <si>
    <t>DIST B</t>
  </si>
  <si>
    <t>Limon</t>
  </si>
  <si>
    <t>Mayorista</t>
  </si>
  <si>
    <t>L1</t>
  </si>
  <si>
    <t>L2</t>
  </si>
  <si>
    <t>L3</t>
  </si>
  <si>
    <t>L4</t>
  </si>
  <si>
    <t>5--12</t>
  </si>
  <si>
    <t>13--25</t>
  </si>
  <si>
    <t>26--50</t>
  </si>
  <si>
    <t>50--+</t>
  </si>
  <si>
    <t>Megablon</t>
  </si>
  <si>
    <t>Mix P</t>
  </si>
  <si>
    <t>Mix M</t>
  </si>
  <si>
    <t>Nacho P</t>
  </si>
  <si>
    <t>Nacho M</t>
  </si>
  <si>
    <t>Papa P</t>
  </si>
  <si>
    <t>Papa M</t>
  </si>
  <si>
    <t>Semilla P</t>
  </si>
  <si>
    <t>Semilla M</t>
  </si>
  <si>
    <t>Tocino M</t>
  </si>
  <si>
    <t>Tocino P</t>
  </si>
  <si>
    <t>DES 1</t>
  </si>
  <si>
    <t>DES 3</t>
  </si>
  <si>
    <t>DES 2</t>
  </si>
  <si>
    <t>DES 4</t>
  </si>
  <si>
    <t>3--8</t>
  </si>
  <si>
    <t>9--15</t>
  </si>
  <si>
    <t>16--30</t>
  </si>
  <si>
    <t>30--+</t>
  </si>
  <si>
    <t>8--19</t>
  </si>
  <si>
    <t>20--49</t>
  </si>
  <si>
    <t>50--99</t>
  </si>
  <si>
    <t>100--+</t>
  </si>
  <si>
    <t>PTEX01007</t>
  </si>
  <si>
    <t>PTEX01005</t>
  </si>
  <si>
    <t>PTEX01004</t>
  </si>
  <si>
    <t>PTEX02001</t>
  </si>
  <si>
    <t>PTEX01012</t>
  </si>
  <si>
    <t>PTEX01013</t>
  </si>
  <si>
    <t>PTEX02003</t>
  </si>
  <si>
    <t>PTMA01001</t>
  </si>
  <si>
    <t>PTMA01004</t>
  </si>
  <si>
    <t>PTMA01002</t>
  </si>
  <si>
    <t>PTFR03004</t>
  </si>
  <si>
    <t>PTFR03002</t>
  </si>
  <si>
    <t>PTFR01005</t>
  </si>
  <si>
    <t>PTFR01002</t>
  </si>
  <si>
    <t>PTFR01011</t>
  </si>
  <si>
    <t>PTFR01014</t>
  </si>
  <si>
    <t>Pack Supermercado</t>
  </si>
  <si>
    <t>PTFR03005</t>
  </si>
  <si>
    <t>PTFR01006</t>
  </si>
  <si>
    <t>PTFR01003</t>
  </si>
  <si>
    <t>PTFR01004</t>
  </si>
  <si>
    <t>PTFR01001</t>
  </si>
  <si>
    <t>PTFR02008</t>
  </si>
  <si>
    <t>PTFR02007</t>
  </si>
  <si>
    <t>PTFR02006</t>
  </si>
  <si>
    <t>PTFR02003</t>
  </si>
  <si>
    <t>PTFR02002</t>
  </si>
  <si>
    <t>PTFR02004</t>
  </si>
  <si>
    <t>PTFR02005</t>
  </si>
  <si>
    <t>PTFR02001</t>
  </si>
  <si>
    <t>PTTO01002</t>
  </si>
  <si>
    <t>PTTO01001</t>
  </si>
  <si>
    <t>PTTO01003</t>
  </si>
  <si>
    <t>PTEX01009</t>
  </si>
  <si>
    <t>PTFR03001</t>
  </si>
  <si>
    <t>PTFR03003</t>
  </si>
  <si>
    <t>PTEX02004</t>
  </si>
  <si>
    <t>PTEX02002</t>
  </si>
  <si>
    <t>Codigo UPON</t>
  </si>
  <si>
    <t>Original</t>
  </si>
  <si>
    <t>Pack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</si>
</sst>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vertical="top"/>
    </xf>
  </cellStyleXfs>
  <cellXfs count="27">
    <xf numFmtId="0" fontId="0" fillId="0" borderId="0" xfId="0"/>
    <xf numFmtId="0" fontId="0" fillId="0" borderId="4" xfId="0" applyBorder="1"/>
    <xf numFmtId="164" fontId="0" fillId="0" borderId="4" xfId="0" applyNumberFormat="1" applyBorder="1"/>
    <xf numFmtId="164" fontId="2" fillId="2" borderId="6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0" borderId="0" xfId="3" applyFont="1" applyAlignment="1">
      <alignment vertical="top" wrapText="1"/>
    </xf>
    <xf numFmtId="0" fontId="4" fillId="0" borderId="0" xfId="3" applyFont="1" applyAlignment="1">
      <alignment vertical="top" wrapText="1" readingOrder="1"/>
    </xf>
    <xf numFmtId="0" fontId="2" fillId="0" borderId="0" xfId="0" applyFont="1"/>
    <xf numFmtId="10" fontId="2" fillId="2" borderId="8" xfId="2" applyNumberFormat="1" applyFont="1" applyFill="1" applyBorder="1" applyAlignment="1">
      <alignment horizontal="center" vertical="center" wrapText="1"/>
    </xf>
    <xf numFmtId="10" fontId="2" fillId="3" borderId="8" xfId="2" applyNumberFormat="1" applyFont="1" applyFill="1" applyBorder="1" applyAlignment="1">
      <alignment horizontal="center" vertical="center" wrapText="1"/>
    </xf>
    <xf numFmtId="10" fontId="2" fillId="3" borderId="9" xfId="2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3" xfId="0" applyFont="1" applyFill="1" applyBorder="1"/>
    <xf numFmtId="0" fontId="2" fillId="2" borderId="2" xfId="0" applyFont="1" applyFill="1" applyBorder="1"/>
    <xf numFmtId="43" fontId="0" fillId="0" borderId="4" xfId="1" applyFont="1" applyBorder="1"/>
    <xf numFmtId="0" fontId="2" fillId="2" borderId="11" xfId="0" applyFont="1" applyFill="1" applyBorder="1"/>
    <xf numFmtId="0" fontId="2" fillId="2" borderId="0" xfId="0" applyFont="1" applyFill="1" applyBorder="1"/>
    <xf numFmtId="0" fontId="2" fillId="3" borderId="0" xfId="0" applyFont="1" applyFill="1" applyBorder="1"/>
    <xf numFmtId="0" fontId="2" fillId="3" borderId="12" xfId="0" applyFont="1" applyFill="1" applyBorder="1"/>
    <xf numFmtId="9" fontId="0" fillId="0" borderId="4" xfId="2" applyFont="1" applyBorder="1"/>
    <xf numFmtId="10" fontId="0" fillId="0" borderId="0" xfId="2" applyNumberFormat="1" applyFont="1"/>
    <xf numFmtId="10" fontId="2" fillId="2" borderId="3" xfId="2" applyNumberFormat="1" applyFont="1" applyFill="1" applyBorder="1"/>
    <xf numFmtId="10" fontId="2" fillId="2" borderId="0" xfId="2" applyNumberFormat="1" applyFont="1" applyFill="1" applyBorder="1"/>
    <xf numFmtId="10" fontId="0" fillId="0" borderId="4" xfId="2" applyNumberFormat="1" applyFont="1" applyBorder="1"/>
  </cellXfs>
  <cellStyles count="4">
    <cellStyle name="Millares" xfId="1" builtinId="3"/>
    <cellStyle name="Normal" xfId="0" builtinId="0"/>
    <cellStyle name="Normal 2" xfId="3" xr:uid="{00000000-0005-0000-0000-000002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2"/>
  <sheetViews>
    <sheetView tabSelected="1" zoomScale="130" zoomScaleNormal="130" workbookViewId="0">
      <pane xSplit="1" ySplit="5" topLeftCell="H6" activePane="bottomRight" state="frozen"/>
      <selection pane="topRight" activeCell="B1" sqref="B1"/>
      <selection pane="bottomLeft" activeCell="A4" sqref="A4"/>
      <selection pane="bottomRight" activeCell="T8" sqref="T7:T8"/>
    </sheetView>
  </sheetViews>
  <sheetFormatPr baseColWidth="10" defaultRowHeight="14.4" x14ac:dyDescent="0.3"/>
  <cols>
    <col min="1" max="1" width="0" hidden="1" customWidth="1"/>
    <col min="3" max="3" width="24.33203125" bestFit="1" customWidth="1"/>
    <col min="5" max="5" width="16.77734375" customWidth="1"/>
    <col min="6" max="6" width="8" customWidth="1"/>
    <col min="7" max="7" width="9.33203125" customWidth="1"/>
    <col min="9" max="9" width="11.109375" bestFit="1" customWidth="1"/>
    <col min="11" max="11" width="9.5546875" customWidth="1"/>
    <col min="12" max="12" width="7.88671875" customWidth="1"/>
    <col min="13" max="14" width="9.5546875" customWidth="1"/>
    <col min="15" max="18" width="9.5546875" style="23" customWidth="1"/>
    <col min="19" max="19" width="10.5546875" customWidth="1"/>
  </cols>
  <sheetData>
    <row r="1" spans="2:22" ht="15" thickBot="1" x14ac:dyDescent="0.35"/>
    <row r="2" spans="2:22" ht="15" thickBot="1" x14ac:dyDescent="0.35">
      <c r="C2" s="14" t="s">
        <v>33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24"/>
      <c r="P2" s="24"/>
      <c r="Q2" s="24"/>
      <c r="R2" s="24"/>
      <c r="S2" s="15"/>
      <c r="T2" s="15"/>
      <c r="U2" s="15"/>
      <c r="V2" s="16"/>
    </row>
    <row r="3" spans="2:22" x14ac:dyDescent="0.3"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5"/>
      <c r="P3" s="25"/>
      <c r="Q3" s="25"/>
      <c r="R3" s="25"/>
      <c r="S3" s="19" t="s">
        <v>129</v>
      </c>
      <c r="T3" s="20" t="s">
        <v>127</v>
      </c>
      <c r="U3" s="20" t="s">
        <v>126</v>
      </c>
      <c r="V3" s="21" t="s">
        <v>32</v>
      </c>
    </row>
    <row r="4" spans="2:22" ht="15" thickBot="1" x14ac:dyDescent="0.35"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5"/>
      <c r="P4" s="25"/>
      <c r="Q4" s="25"/>
      <c r="R4" s="25"/>
      <c r="S4" s="19"/>
      <c r="T4" s="20"/>
      <c r="U4" s="20"/>
      <c r="V4" s="21"/>
    </row>
    <row r="5" spans="2:22" ht="43.2" x14ac:dyDescent="0.3">
      <c r="B5" s="5" t="s">
        <v>199</v>
      </c>
      <c r="C5" s="5" t="s">
        <v>0</v>
      </c>
      <c r="D5" s="6" t="s">
        <v>1</v>
      </c>
      <c r="E5" s="13" t="s">
        <v>36</v>
      </c>
      <c r="F5" s="13" t="s">
        <v>110</v>
      </c>
      <c r="G5" s="13" t="s">
        <v>111</v>
      </c>
      <c r="H5" s="3" t="s">
        <v>118</v>
      </c>
      <c r="I5" s="4" t="s">
        <v>112</v>
      </c>
      <c r="J5" s="4" t="s">
        <v>31</v>
      </c>
      <c r="K5" s="10" t="s">
        <v>130</v>
      </c>
      <c r="L5" s="10" t="s">
        <v>131</v>
      </c>
      <c r="M5" s="10" t="s">
        <v>132</v>
      </c>
      <c r="N5" s="10" t="s">
        <v>133</v>
      </c>
      <c r="O5" s="10" t="s">
        <v>149</v>
      </c>
      <c r="P5" s="10" t="s">
        <v>151</v>
      </c>
      <c r="Q5" s="10" t="s">
        <v>150</v>
      </c>
      <c r="R5" s="10" t="s">
        <v>152</v>
      </c>
      <c r="S5" s="10"/>
      <c r="T5" s="11">
        <v>0.08</v>
      </c>
      <c r="U5" s="11">
        <v>0.12</v>
      </c>
      <c r="V5" s="12">
        <v>0.25</v>
      </c>
    </row>
    <row r="6" spans="2:22" x14ac:dyDescent="0.3">
      <c r="B6" s="1" t="s">
        <v>161</v>
      </c>
      <c r="C6" s="1" t="s">
        <v>13</v>
      </c>
      <c r="D6" s="1" t="s">
        <v>5</v>
      </c>
      <c r="E6" s="1" t="s">
        <v>122</v>
      </c>
      <c r="F6" s="1" t="s">
        <v>113</v>
      </c>
      <c r="G6" s="1" t="s">
        <v>115</v>
      </c>
      <c r="H6" s="1">
        <v>12</v>
      </c>
      <c r="I6" s="17">
        <f>+J6/H6</f>
        <v>22</v>
      </c>
      <c r="J6" s="17">
        <v>264</v>
      </c>
      <c r="K6" s="2" t="s">
        <v>153</v>
      </c>
      <c r="L6" s="2" t="s">
        <v>154</v>
      </c>
      <c r="M6" s="2" t="s">
        <v>155</v>
      </c>
      <c r="N6" s="2" t="s">
        <v>156</v>
      </c>
      <c r="O6" s="26">
        <v>0.04</v>
      </c>
      <c r="P6" s="26">
        <v>5.5E-2</v>
      </c>
      <c r="Q6" s="26">
        <v>7.0000000000000007E-2</v>
      </c>
      <c r="R6" s="26">
        <v>0.08</v>
      </c>
      <c r="S6" s="2"/>
      <c r="T6" s="22">
        <v>0.08</v>
      </c>
      <c r="U6" s="22">
        <v>0.12</v>
      </c>
      <c r="V6" s="22">
        <v>0.25</v>
      </c>
    </row>
    <row r="7" spans="2:22" x14ac:dyDescent="0.3">
      <c r="B7" s="1" t="s">
        <v>167</v>
      </c>
      <c r="C7" s="1" t="s">
        <v>21</v>
      </c>
      <c r="D7" s="1" t="s">
        <v>5</v>
      </c>
      <c r="E7" s="1" t="s">
        <v>122</v>
      </c>
      <c r="F7" s="1" t="s">
        <v>114</v>
      </c>
      <c r="G7" s="1" t="s">
        <v>116</v>
      </c>
      <c r="H7" s="1">
        <v>20</v>
      </c>
      <c r="I7" s="17">
        <f>+J7/H7</f>
        <v>6.4</v>
      </c>
      <c r="J7" s="17">
        <v>128</v>
      </c>
      <c r="K7" s="2" t="s">
        <v>134</v>
      </c>
      <c r="L7" s="2" t="s">
        <v>135</v>
      </c>
      <c r="M7" s="2" t="s">
        <v>136</v>
      </c>
      <c r="N7" s="2" t="s">
        <v>137</v>
      </c>
      <c r="O7" s="26">
        <v>0.04</v>
      </c>
      <c r="P7" s="26">
        <v>5.5E-2</v>
      </c>
      <c r="Q7" s="26">
        <v>7.0000000000000007E-2</v>
      </c>
      <c r="R7" s="26">
        <v>0.08</v>
      </c>
      <c r="S7" s="2"/>
      <c r="T7" s="22">
        <v>0.08</v>
      </c>
      <c r="U7" s="22">
        <v>0.12</v>
      </c>
      <c r="V7" s="22">
        <v>0.25</v>
      </c>
    </row>
    <row r="8" spans="2:22" x14ac:dyDescent="0.3">
      <c r="B8" s="1" t="s">
        <v>197</v>
      </c>
      <c r="C8" s="1" t="s">
        <v>21</v>
      </c>
      <c r="D8" s="1" t="s">
        <v>15</v>
      </c>
      <c r="E8" s="1" t="s">
        <v>122</v>
      </c>
      <c r="F8" s="1" t="s">
        <v>114</v>
      </c>
      <c r="G8" s="1" t="s">
        <v>116</v>
      </c>
      <c r="H8" s="1">
        <v>20</v>
      </c>
      <c r="I8" s="17">
        <f>+J8/H8</f>
        <v>6.4</v>
      </c>
      <c r="J8" s="17">
        <v>128</v>
      </c>
      <c r="K8" s="2" t="s">
        <v>134</v>
      </c>
      <c r="L8" s="2" t="s">
        <v>135</v>
      </c>
      <c r="M8" s="2" t="s">
        <v>136</v>
      </c>
      <c r="N8" s="2" t="s">
        <v>137</v>
      </c>
      <c r="O8" s="26">
        <v>0.04</v>
      </c>
      <c r="P8" s="26">
        <v>5.5E-2</v>
      </c>
      <c r="Q8" s="26">
        <v>7.0000000000000007E-2</v>
      </c>
      <c r="R8" s="26">
        <v>0.08</v>
      </c>
      <c r="S8" s="2"/>
      <c r="T8" s="22">
        <v>0.08</v>
      </c>
      <c r="U8" s="22">
        <v>0.12</v>
      </c>
      <c r="V8" s="22">
        <v>0.25</v>
      </c>
    </row>
    <row r="9" spans="2:22" x14ac:dyDescent="0.3">
      <c r="B9" s="1" t="s">
        <v>165</v>
      </c>
      <c r="C9" s="1" t="s">
        <v>22</v>
      </c>
      <c r="D9" s="1" t="s">
        <v>5</v>
      </c>
      <c r="E9" s="1" t="s">
        <v>122</v>
      </c>
      <c r="F9" s="1" t="s">
        <v>114</v>
      </c>
      <c r="G9" s="1" t="s">
        <v>116</v>
      </c>
      <c r="H9" s="1">
        <v>20</v>
      </c>
      <c r="I9" s="17">
        <f>+J9/H9</f>
        <v>6.4</v>
      </c>
      <c r="J9" s="17">
        <v>128</v>
      </c>
      <c r="K9" s="2" t="s">
        <v>134</v>
      </c>
      <c r="L9" s="2" t="s">
        <v>135</v>
      </c>
      <c r="M9" s="2" t="s">
        <v>136</v>
      </c>
      <c r="N9" s="2" t="s">
        <v>137</v>
      </c>
      <c r="O9" s="26">
        <v>0.04</v>
      </c>
      <c r="P9" s="26">
        <v>5.5E-2</v>
      </c>
      <c r="Q9" s="26">
        <v>7.0000000000000007E-2</v>
      </c>
      <c r="R9" s="26">
        <v>0.08</v>
      </c>
      <c r="S9" s="2"/>
      <c r="T9" s="22">
        <v>0.08</v>
      </c>
      <c r="U9" s="22">
        <v>0.12</v>
      </c>
      <c r="V9" s="22">
        <v>0.25</v>
      </c>
    </row>
    <row r="10" spans="2:22" x14ac:dyDescent="0.3">
      <c r="B10" s="1" t="s">
        <v>166</v>
      </c>
      <c r="C10" s="1" t="s">
        <v>22</v>
      </c>
      <c r="D10" s="1" t="s">
        <v>3</v>
      </c>
      <c r="E10" s="1" t="s">
        <v>122</v>
      </c>
      <c r="F10" s="1" t="s">
        <v>114</v>
      </c>
      <c r="G10" s="1" t="s">
        <v>116</v>
      </c>
      <c r="H10" s="1">
        <v>20</v>
      </c>
      <c r="I10" s="17">
        <f>+J10/H10</f>
        <v>6.4</v>
      </c>
      <c r="J10" s="17">
        <v>128</v>
      </c>
      <c r="K10" s="2" t="s">
        <v>134</v>
      </c>
      <c r="L10" s="2" t="s">
        <v>135</v>
      </c>
      <c r="M10" s="2" t="s">
        <v>136</v>
      </c>
      <c r="N10" s="2" t="s">
        <v>137</v>
      </c>
      <c r="O10" s="26">
        <v>0.04</v>
      </c>
      <c r="P10" s="26">
        <v>5.5E-2</v>
      </c>
      <c r="Q10" s="26">
        <v>7.0000000000000007E-2</v>
      </c>
      <c r="R10" s="26">
        <v>0.08</v>
      </c>
      <c r="S10" s="2"/>
      <c r="T10" s="22">
        <v>0.08</v>
      </c>
      <c r="U10" s="22">
        <v>0.12</v>
      </c>
      <c r="V10" s="22">
        <v>0.25</v>
      </c>
    </row>
    <row r="11" spans="2:22" x14ac:dyDescent="0.3">
      <c r="B11" s="1" t="s">
        <v>164</v>
      </c>
      <c r="C11" s="1" t="s">
        <v>14</v>
      </c>
      <c r="D11" s="1" t="s">
        <v>5</v>
      </c>
      <c r="E11" s="1" t="s">
        <v>122</v>
      </c>
      <c r="F11" s="1" t="s">
        <v>114</v>
      </c>
      <c r="G11" s="1" t="s">
        <v>115</v>
      </c>
      <c r="H11" s="1">
        <v>8</v>
      </c>
      <c r="I11" s="17">
        <f>+J11/H11</f>
        <v>15.3</v>
      </c>
      <c r="J11" s="17">
        <v>122.4</v>
      </c>
      <c r="K11" s="2" t="s">
        <v>134</v>
      </c>
      <c r="L11" s="2" t="s">
        <v>135</v>
      </c>
      <c r="M11" s="2" t="s">
        <v>136</v>
      </c>
      <c r="N11" s="2" t="s">
        <v>137</v>
      </c>
      <c r="O11" s="26">
        <v>0.04</v>
      </c>
      <c r="P11" s="26">
        <v>5.5E-2</v>
      </c>
      <c r="Q11" s="26">
        <v>7.0000000000000007E-2</v>
      </c>
      <c r="R11" s="26">
        <v>0.08</v>
      </c>
      <c r="S11" s="2"/>
      <c r="T11" s="22">
        <v>0.08</v>
      </c>
      <c r="U11" s="22">
        <v>0.12</v>
      </c>
      <c r="V11" s="22">
        <v>0.25</v>
      </c>
    </row>
    <row r="12" spans="2:22" x14ac:dyDescent="0.3">
      <c r="B12" s="1" t="s">
        <v>198</v>
      </c>
      <c r="C12" s="1" t="s">
        <v>14</v>
      </c>
      <c r="D12" s="1" t="s">
        <v>15</v>
      </c>
      <c r="E12" s="1" t="s">
        <v>122</v>
      </c>
      <c r="F12" s="1" t="s">
        <v>114</v>
      </c>
      <c r="G12" s="1" t="s">
        <v>115</v>
      </c>
      <c r="H12" s="1">
        <v>8</v>
      </c>
      <c r="I12" s="17">
        <f>+J12/H12</f>
        <v>15.3</v>
      </c>
      <c r="J12" s="17">
        <v>122.4</v>
      </c>
      <c r="K12" s="2" t="s">
        <v>134</v>
      </c>
      <c r="L12" s="2" t="s">
        <v>135</v>
      </c>
      <c r="M12" s="2" t="s">
        <v>136</v>
      </c>
      <c r="N12" s="2" t="s">
        <v>137</v>
      </c>
      <c r="O12" s="26">
        <v>0.04</v>
      </c>
      <c r="P12" s="26">
        <v>5.5E-2</v>
      </c>
      <c r="Q12" s="26">
        <v>7.0000000000000007E-2</v>
      </c>
      <c r="R12" s="26">
        <v>0.08</v>
      </c>
      <c r="S12" s="2"/>
      <c r="T12" s="22">
        <v>0.08</v>
      </c>
      <c r="U12" s="22">
        <v>0.12</v>
      </c>
      <c r="V12" s="22">
        <v>0.25</v>
      </c>
    </row>
    <row r="13" spans="2:22" x14ac:dyDescent="0.3">
      <c r="B13" s="1" t="s">
        <v>163</v>
      </c>
      <c r="C13" s="1" t="s">
        <v>16</v>
      </c>
      <c r="D13" s="1" t="s">
        <v>5</v>
      </c>
      <c r="E13" s="1" t="s">
        <v>122</v>
      </c>
      <c r="F13" s="1" t="s">
        <v>114</v>
      </c>
      <c r="G13" s="1" t="s">
        <v>115</v>
      </c>
      <c r="H13" s="1">
        <v>6</v>
      </c>
      <c r="I13" s="17">
        <f>+J13/H13</f>
        <v>15.299999999999999</v>
      </c>
      <c r="J13" s="17">
        <v>91.8</v>
      </c>
      <c r="K13" s="2" t="s">
        <v>134</v>
      </c>
      <c r="L13" s="2" t="s">
        <v>135</v>
      </c>
      <c r="M13" s="2" t="s">
        <v>136</v>
      </c>
      <c r="N13" s="2" t="s">
        <v>137</v>
      </c>
      <c r="O13" s="26">
        <v>0.04</v>
      </c>
      <c r="P13" s="26">
        <v>5.5E-2</v>
      </c>
      <c r="Q13" s="26">
        <v>7.0000000000000007E-2</v>
      </c>
      <c r="R13" s="26">
        <v>0.08</v>
      </c>
      <c r="S13" s="2"/>
      <c r="T13" s="22">
        <v>0.08</v>
      </c>
      <c r="U13" s="22">
        <v>0.12</v>
      </c>
      <c r="V13" s="22">
        <v>0.25</v>
      </c>
    </row>
    <row r="14" spans="2:22" x14ac:dyDescent="0.3">
      <c r="B14" s="1" t="s">
        <v>162</v>
      </c>
      <c r="C14" s="1" t="s">
        <v>16</v>
      </c>
      <c r="D14" s="1" t="s">
        <v>3</v>
      </c>
      <c r="E14" s="1" t="s">
        <v>122</v>
      </c>
      <c r="F14" s="1" t="s">
        <v>114</v>
      </c>
      <c r="G14" s="1" t="s">
        <v>115</v>
      </c>
      <c r="H14" s="1">
        <v>6</v>
      </c>
      <c r="I14" s="17">
        <f>+J14/H14</f>
        <v>15.299999999999999</v>
      </c>
      <c r="J14" s="17">
        <v>91.8</v>
      </c>
      <c r="K14" s="2" t="s">
        <v>134</v>
      </c>
      <c r="L14" s="2" t="s">
        <v>135</v>
      </c>
      <c r="M14" s="2" t="s">
        <v>136</v>
      </c>
      <c r="N14" s="2" t="s">
        <v>137</v>
      </c>
      <c r="O14" s="26">
        <v>0.04</v>
      </c>
      <c r="P14" s="26">
        <v>5.5E-2</v>
      </c>
      <c r="Q14" s="26">
        <v>7.0000000000000007E-2</v>
      </c>
      <c r="R14" s="26">
        <v>0.08</v>
      </c>
      <c r="S14" s="2"/>
      <c r="T14" s="22">
        <v>0.08</v>
      </c>
      <c r="U14" s="22">
        <v>0.12</v>
      </c>
      <c r="V14" s="22">
        <v>0.25</v>
      </c>
    </row>
    <row r="15" spans="2:22" x14ac:dyDescent="0.3">
      <c r="B15" s="1" t="s">
        <v>168</v>
      </c>
      <c r="C15" s="1" t="s">
        <v>27</v>
      </c>
      <c r="D15" s="1" t="s">
        <v>28</v>
      </c>
      <c r="E15" s="1" t="s">
        <v>123</v>
      </c>
      <c r="F15" s="1" t="s">
        <v>114</v>
      </c>
      <c r="G15" s="1" t="s">
        <v>113</v>
      </c>
      <c r="H15" s="1">
        <v>12</v>
      </c>
      <c r="I15" s="17">
        <f>+J15/H15</f>
        <v>38.5</v>
      </c>
      <c r="J15" s="17">
        <f>38.5*12</f>
        <v>462</v>
      </c>
      <c r="K15" s="2" t="s">
        <v>153</v>
      </c>
      <c r="L15" s="2" t="s">
        <v>154</v>
      </c>
      <c r="M15" s="2" t="s">
        <v>155</v>
      </c>
      <c r="N15" s="2" t="s">
        <v>156</v>
      </c>
      <c r="O15" s="26">
        <v>0.02</v>
      </c>
      <c r="P15" s="26">
        <v>3.5000000000000003E-2</v>
      </c>
      <c r="Q15" s="26">
        <v>0.05</v>
      </c>
      <c r="R15" s="26">
        <v>0.06</v>
      </c>
      <c r="S15" s="2"/>
      <c r="T15" s="22">
        <v>0.08</v>
      </c>
      <c r="U15" s="22">
        <v>0.12</v>
      </c>
      <c r="V15" s="22">
        <v>0.25</v>
      </c>
    </row>
    <row r="16" spans="2:22" x14ac:dyDescent="0.3">
      <c r="B16" s="1" t="s">
        <v>170</v>
      </c>
      <c r="C16" s="1" t="s">
        <v>25</v>
      </c>
      <c r="D16" s="1" t="s">
        <v>26</v>
      </c>
      <c r="E16" s="1" t="s">
        <v>138</v>
      </c>
      <c r="F16" s="1" t="s">
        <v>113</v>
      </c>
      <c r="G16" s="1" t="s">
        <v>117</v>
      </c>
      <c r="H16" s="1">
        <v>12</v>
      </c>
      <c r="I16" s="17">
        <f>+J16/H16</f>
        <v>20</v>
      </c>
      <c r="J16" s="17">
        <v>240</v>
      </c>
      <c r="K16" s="2" t="s">
        <v>134</v>
      </c>
      <c r="L16" s="2" t="s">
        <v>135</v>
      </c>
      <c r="M16" s="2" t="s">
        <v>136</v>
      </c>
      <c r="N16" s="2" t="s">
        <v>137</v>
      </c>
      <c r="O16" s="26">
        <v>0.02</v>
      </c>
      <c r="P16" s="26">
        <v>3.5000000000000003E-2</v>
      </c>
      <c r="Q16" s="26">
        <v>0.05</v>
      </c>
      <c r="R16" s="26">
        <v>0.06</v>
      </c>
      <c r="S16" s="2"/>
      <c r="T16" s="22">
        <v>0.08</v>
      </c>
      <c r="U16" s="22">
        <v>0.12</v>
      </c>
      <c r="V16" s="22">
        <v>0.25</v>
      </c>
    </row>
    <row r="17" spans="2:22" x14ac:dyDescent="0.3">
      <c r="B17" s="1" t="s">
        <v>169</v>
      </c>
      <c r="C17" s="1" t="s">
        <v>121</v>
      </c>
      <c r="D17" s="1" t="s">
        <v>11</v>
      </c>
      <c r="E17" s="1" t="s">
        <v>125</v>
      </c>
      <c r="F17" s="1" t="s">
        <v>113</v>
      </c>
      <c r="G17" s="1" t="s">
        <v>115</v>
      </c>
      <c r="H17" s="1">
        <v>10</v>
      </c>
      <c r="I17" s="17">
        <f>+J17/H17</f>
        <v>15.5</v>
      </c>
      <c r="J17" s="17">
        <v>155</v>
      </c>
      <c r="K17" s="2" t="s">
        <v>153</v>
      </c>
      <c r="L17" s="2" t="s">
        <v>154</v>
      </c>
      <c r="M17" s="2" t="s">
        <v>155</v>
      </c>
      <c r="N17" s="2" t="s">
        <v>156</v>
      </c>
      <c r="O17" s="26">
        <v>0.02</v>
      </c>
      <c r="P17" s="26">
        <v>3.5000000000000003E-2</v>
      </c>
      <c r="Q17" s="26">
        <v>0.05</v>
      </c>
      <c r="R17" s="26">
        <v>0.06</v>
      </c>
      <c r="S17" s="2"/>
      <c r="T17" s="22">
        <v>0.08</v>
      </c>
      <c r="U17" s="22">
        <v>0.12</v>
      </c>
      <c r="V17" s="22">
        <v>0.25</v>
      </c>
    </row>
    <row r="18" spans="2:22" x14ac:dyDescent="0.3">
      <c r="B18" s="1" t="s">
        <v>171</v>
      </c>
      <c r="C18" s="1" t="s">
        <v>19</v>
      </c>
      <c r="D18" s="1" t="s">
        <v>11</v>
      </c>
      <c r="E18" s="1" t="s">
        <v>139</v>
      </c>
      <c r="F18" s="1" t="s">
        <v>113</v>
      </c>
      <c r="G18" s="1" t="s">
        <v>116</v>
      </c>
      <c r="H18" s="1">
        <v>20</v>
      </c>
      <c r="I18" s="17">
        <f>+J18/H18</f>
        <v>13.5</v>
      </c>
      <c r="J18" s="17">
        <v>270</v>
      </c>
      <c r="K18" s="2" t="s">
        <v>153</v>
      </c>
      <c r="L18" s="2" t="s">
        <v>154</v>
      </c>
      <c r="M18" s="2" t="s">
        <v>155</v>
      </c>
      <c r="N18" s="2" t="s">
        <v>156</v>
      </c>
      <c r="O18" s="26">
        <v>0.02</v>
      </c>
      <c r="P18" s="26">
        <v>3.5000000000000003E-2</v>
      </c>
      <c r="Q18" s="26">
        <v>0.05</v>
      </c>
      <c r="R18" s="26">
        <v>0.06</v>
      </c>
      <c r="S18" s="2"/>
      <c r="T18" s="22">
        <v>0.08</v>
      </c>
      <c r="U18" s="22">
        <v>0.12</v>
      </c>
      <c r="V18" s="22">
        <v>0.25</v>
      </c>
    </row>
    <row r="19" spans="2:22" x14ac:dyDescent="0.3">
      <c r="B19" s="1" t="s">
        <v>172</v>
      </c>
      <c r="C19" s="1" t="s">
        <v>10</v>
      </c>
      <c r="D19" s="1" t="s">
        <v>11</v>
      </c>
      <c r="E19" s="1" t="s">
        <v>140</v>
      </c>
      <c r="F19" s="1" t="s">
        <v>113</v>
      </c>
      <c r="G19" s="1" t="s">
        <v>115</v>
      </c>
      <c r="H19" s="1">
        <v>8</v>
      </c>
      <c r="I19" s="17">
        <f>+J19/H19</f>
        <v>22</v>
      </c>
      <c r="J19" s="17">
        <v>176</v>
      </c>
      <c r="K19" s="2" t="s">
        <v>134</v>
      </c>
      <c r="L19" s="2" t="s">
        <v>135</v>
      </c>
      <c r="M19" s="2" t="s">
        <v>136</v>
      </c>
      <c r="N19" s="2" t="s">
        <v>137</v>
      </c>
      <c r="O19" s="26">
        <v>0.02</v>
      </c>
      <c r="P19" s="26">
        <v>3.5000000000000003E-2</v>
      </c>
      <c r="Q19" s="26">
        <v>0.05</v>
      </c>
      <c r="R19" s="26">
        <v>0.06</v>
      </c>
      <c r="S19" s="2"/>
      <c r="T19" s="22">
        <v>0.08</v>
      </c>
      <c r="U19" s="22">
        <v>0.12</v>
      </c>
      <c r="V19" s="22">
        <v>0.25</v>
      </c>
    </row>
    <row r="20" spans="2:22" x14ac:dyDescent="0.3">
      <c r="B20" s="1" t="s">
        <v>180</v>
      </c>
      <c r="C20" s="1" t="s">
        <v>2</v>
      </c>
      <c r="D20" s="1" t="s">
        <v>5</v>
      </c>
      <c r="E20" s="1" t="s">
        <v>141</v>
      </c>
      <c r="F20" s="1" t="s">
        <v>113</v>
      </c>
      <c r="G20" s="1" t="s">
        <v>115</v>
      </c>
      <c r="H20" s="1">
        <v>12</v>
      </c>
      <c r="I20" s="17">
        <f>+J20/H20</f>
        <v>22</v>
      </c>
      <c r="J20" s="17">
        <v>264</v>
      </c>
      <c r="K20" s="2" t="s">
        <v>134</v>
      </c>
      <c r="L20" s="2" t="s">
        <v>135</v>
      </c>
      <c r="M20" s="2" t="s">
        <v>136</v>
      </c>
      <c r="N20" s="2" t="s">
        <v>137</v>
      </c>
      <c r="O20" s="26">
        <v>0.02</v>
      </c>
      <c r="P20" s="26">
        <v>3.5000000000000003E-2</v>
      </c>
      <c r="Q20" s="26">
        <v>0.05</v>
      </c>
      <c r="R20" s="26">
        <v>0.06</v>
      </c>
      <c r="S20" s="2"/>
      <c r="T20" s="22">
        <v>0.08</v>
      </c>
      <c r="U20" s="22">
        <v>0.12</v>
      </c>
      <c r="V20" s="22">
        <v>0.25</v>
      </c>
    </row>
    <row r="21" spans="2:22" x14ac:dyDescent="0.3">
      <c r="B21" s="1" t="s">
        <v>174</v>
      </c>
      <c r="C21" s="1" t="s">
        <v>2</v>
      </c>
      <c r="D21" s="1" t="s">
        <v>3</v>
      </c>
      <c r="E21" s="1" t="s">
        <v>141</v>
      </c>
      <c r="F21" s="1" t="s">
        <v>113</v>
      </c>
      <c r="G21" s="1" t="s">
        <v>115</v>
      </c>
      <c r="H21" s="1">
        <v>12</v>
      </c>
      <c r="I21" s="17">
        <f>+J21/H21</f>
        <v>22</v>
      </c>
      <c r="J21" s="17">
        <v>264</v>
      </c>
      <c r="K21" s="2" t="s">
        <v>134</v>
      </c>
      <c r="L21" s="2" t="s">
        <v>135</v>
      </c>
      <c r="M21" s="2" t="s">
        <v>136</v>
      </c>
      <c r="N21" s="2" t="s">
        <v>137</v>
      </c>
      <c r="O21" s="26">
        <v>0.02</v>
      </c>
      <c r="P21" s="26">
        <v>3.5000000000000003E-2</v>
      </c>
      <c r="Q21" s="26">
        <v>0.05</v>
      </c>
      <c r="R21" s="26">
        <v>0.06</v>
      </c>
      <c r="S21" s="2"/>
      <c r="T21" s="22">
        <v>0.08</v>
      </c>
      <c r="U21" s="22">
        <v>0.12</v>
      </c>
      <c r="V21" s="22">
        <v>0.25</v>
      </c>
    </row>
    <row r="22" spans="2:22" x14ac:dyDescent="0.3">
      <c r="B22" s="1" t="s">
        <v>175</v>
      </c>
      <c r="C22" s="1" t="s">
        <v>2</v>
      </c>
      <c r="D22" s="1" t="s">
        <v>128</v>
      </c>
      <c r="E22" s="1" t="s">
        <v>141</v>
      </c>
      <c r="F22" s="1" t="s">
        <v>113</v>
      </c>
      <c r="G22" s="1" t="s">
        <v>115</v>
      </c>
      <c r="H22" s="1">
        <v>12</v>
      </c>
      <c r="I22" s="17">
        <f>+J22/H22</f>
        <v>22</v>
      </c>
      <c r="J22" s="17">
        <v>264</v>
      </c>
      <c r="K22" s="2" t="s">
        <v>134</v>
      </c>
      <c r="L22" s="2" t="s">
        <v>135</v>
      </c>
      <c r="M22" s="2" t="s">
        <v>136</v>
      </c>
      <c r="N22" s="2" t="s">
        <v>137</v>
      </c>
      <c r="O22" s="26">
        <v>0.02</v>
      </c>
      <c r="P22" s="26">
        <v>3.5000000000000003E-2</v>
      </c>
      <c r="Q22" s="26">
        <v>0.05</v>
      </c>
      <c r="R22" s="26">
        <v>0.06</v>
      </c>
      <c r="S22" s="2"/>
      <c r="T22" s="22">
        <v>0.08</v>
      </c>
      <c r="U22" s="22">
        <v>0.12</v>
      </c>
      <c r="V22" s="22">
        <v>0.25</v>
      </c>
    </row>
    <row r="23" spans="2:22" x14ac:dyDescent="0.3">
      <c r="B23" s="1" t="s">
        <v>182</v>
      </c>
      <c r="C23" s="1" t="s">
        <v>2</v>
      </c>
      <c r="D23" s="1" t="s">
        <v>4</v>
      </c>
      <c r="E23" s="1" t="s">
        <v>141</v>
      </c>
      <c r="F23" s="1" t="s">
        <v>113</v>
      </c>
      <c r="G23" s="1" t="s">
        <v>115</v>
      </c>
      <c r="H23" s="1">
        <v>12</v>
      </c>
      <c r="I23" s="17">
        <f>+J23/H23</f>
        <v>22</v>
      </c>
      <c r="J23" s="17">
        <v>264</v>
      </c>
      <c r="K23" s="2" t="s">
        <v>134</v>
      </c>
      <c r="L23" s="2" t="s">
        <v>135</v>
      </c>
      <c r="M23" s="2" t="s">
        <v>136</v>
      </c>
      <c r="N23" s="2" t="s">
        <v>137</v>
      </c>
      <c r="O23" s="26">
        <v>0.02</v>
      </c>
      <c r="P23" s="26">
        <v>3.5000000000000003E-2</v>
      </c>
      <c r="Q23" s="26">
        <v>0.05</v>
      </c>
      <c r="R23" s="26">
        <v>0.06</v>
      </c>
      <c r="S23" s="2"/>
      <c r="T23" s="22">
        <v>0.08</v>
      </c>
      <c r="U23" s="22">
        <v>0.12</v>
      </c>
      <c r="V23" s="22">
        <v>0.25</v>
      </c>
    </row>
    <row r="24" spans="2:22" x14ac:dyDescent="0.3">
      <c r="B24" s="1" t="s">
        <v>179</v>
      </c>
      <c r="C24" s="1" t="s">
        <v>17</v>
      </c>
      <c r="D24" s="1" t="s">
        <v>5</v>
      </c>
      <c r="E24" s="1" t="s">
        <v>142</v>
      </c>
      <c r="F24" s="1" t="s">
        <v>113</v>
      </c>
      <c r="G24" s="1" t="s">
        <v>116</v>
      </c>
      <c r="H24" s="1">
        <v>20</v>
      </c>
      <c r="I24" s="17">
        <f>+J24/H24</f>
        <v>8.4</v>
      </c>
      <c r="J24" s="17">
        <v>168</v>
      </c>
      <c r="K24" s="2" t="s">
        <v>134</v>
      </c>
      <c r="L24" s="2" t="s">
        <v>135</v>
      </c>
      <c r="M24" s="2" t="s">
        <v>136</v>
      </c>
      <c r="N24" s="2" t="s">
        <v>137</v>
      </c>
      <c r="O24" s="26">
        <v>0.02</v>
      </c>
      <c r="P24" s="26">
        <v>3.5000000000000003E-2</v>
      </c>
      <c r="Q24" s="26">
        <v>0.05</v>
      </c>
      <c r="R24" s="26">
        <v>0.06</v>
      </c>
      <c r="S24" s="2"/>
      <c r="T24" s="22">
        <v>0.08</v>
      </c>
      <c r="U24" s="22">
        <v>0.12</v>
      </c>
      <c r="V24" s="22">
        <v>0.25</v>
      </c>
    </row>
    <row r="25" spans="2:22" x14ac:dyDescent="0.3">
      <c r="B25" s="1" t="s">
        <v>173</v>
      </c>
      <c r="C25" s="1" t="s">
        <v>17</v>
      </c>
      <c r="D25" s="1" t="s">
        <v>3</v>
      </c>
      <c r="E25" s="1" t="s">
        <v>142</v>
      </c>
      <c r="F25" s="1" t="s">
        <v>113</v>
      </c>
      <c r="G25" s="1" t="s">
        <v>116</v>
      </c>
      <c r="H25" s="1">
        <v>20</v>
      </c>
      <c r="I25" s="17">
        <f>+J25/H25</f>
        <v>8.4</v>
      </c>
      <c r="J25" s="17">
        <v>168</v>
      </c>
      <c r="K25" s="2" t="s">
        <v>134</v>
      </c>
      <c r="L25" s="2" t="s">
        <v>135</v>
      </c>
      <c r="M25" s="2" t="s">
        <v>136</v>
      </c>
      <c r="N25" s="2" t="s">
        <v>137</v>
      </c>
      <c r="O25" s="26">
        <v>0.02</v>
      </c>
      <c r="P25" s="26">
        <v>3.5000000000000003E-2</v>
      </c>
      <c r="Q25" s="26">
        <v>0.05</v>
      </c>
      <c r="R25" s="26">
        <v>0.06</v>
      </c>
      <c r="S25" s="2"/>
      <c r="T25" s="22">
        <v>0.08</v>
      </c>
      <c r="U25" s="22">
        <v>0.12</v>
      </c>
      <c r="V25" s="22">
        <v>0.25</v>
      </c>
    </row>
    <row r="26" spans="2:22" x14ac:dyDescent="0.3">
      <c r="B26" s="1" t="s">
        <v>176</v>
      </c>
      <c r="C26" s="1" t="s">
        <v>17</v>
      </c>
      <c r="D26" s="1" t="s">
        <v>128</v>
      </c>
      <c r="E26" s="1" t="s">
        <v>142</v>
      </c>
      <c r="F26" s="1" t="s">
        <v>113</v>
      </c>
      <c r="G26" s="1" t="s">
        <v>116</v>
      </c>
      <c r="H26" s="1">
        <v>20</v>
      </c>
      <c r="I26" s="17">
        <f>+J26/H26</f>
        <v>8.4</v>
      </c>
      <c r="J26" s="17">
        <v>168</v>
      </c>
      <c r="K26" s="2" t="s">
        <v>134</v>
      </c>
      <c r="L26" s="2" t="s">
        <v>135</v>
      </c>
      <c r="M26" s="2" t="s">
        <v>136</v>
      </c>
      <c r="N26" s="2" t="s">
        <v>137</v>
      </c>
      <c r="O26" s="26">
        <v>0.02</v>
      </c>
      <c r="P26" s="26">
        <v>3.5000000000000003E-2</v>
      </c>
      <c r="Q26" s="26">
        <v>0.05</v>
      </c>
      <c r="R26" s="26">
        <v>0.06</v>
      </c>
      <c r="S26" s="2"/>
      <c r="T26" s="22">
        <v>0.08</v>
      </c>
      <c r="U26" s="22">
        <v>0.12</v>
      </c>
      <c r="V26" s="22">
        <v>0.25</v>
      </c>
    </row>
    <row r="27" spans="2:22" x14ac:dyDescent="0.3">
      <c r="B27" s="1" t="s">
        <v>181</v>
      </c>
      <c r="C27" s="1" t="s">
        <v>17</v>
      </c>
      <c r="D27" s="1" t="s">
        <v>4</v>
      </c>
      <c r="E27" s="1" t="s">
        <v>142</v>
      </c>
      <c r="F27" s="1" t="s">
        <v>113</v>
      </c>
      <c r="G27" s="1" t="s">
        <v>116</v>
      </c>
      <c r="H27" s="1">
        <v>20</v>
      </c>
      <c r="I27" s="17">
        <f>+J27/H27</f>
        <v>8.4</v>
      </c>
      <c r="J27" s="17">
        <v>168</v>
      </c>
      <c r="K27" s="2" t="s">
        <v>134</v>
      </c>
      <c r="L27" s="2" t="s">
        <v>135</v>
      </c>
      <c r="M27" s="2" t="s">
        <v>136</v>
      </c>
      <c r="N27" s="2" t="s">
        <v>137</v>
      </c>
      <c r="O27" s="26">
        <v>0.02</v>
      </c>
      <c r="P27" s="26">
        <v>3.5000000000000003E-2</v>
      </c>
      <c r="Q27" s="26">
        <v>0.05</v>
      </c>
      <c r="R27" s="26">
        <v>0.06</v>
      </c>
      <c r="S27" s="2"/>
      <c r="T27" s="22">
        <v>0.08</v>
      </c>
      <c r="U27" s="22">
        <v>0.12</v>
      </c>
      <c r="V27" s="22">
        <v>0.25</v>
      </c>
    </row>
    <row r="28" spans="2:22" x14ac:dyDescent="0.3">
      <c r="B28" s="1" t="s">
        <v>190</v>
      </c>
      <c r="C28" s="1" t="s">
        <v>6</v>
      </c>
      <c r="D28" s="1" t="s">
        <v>7</v>
      </c>
      <c r="E28" s="1" t="s">
        <v>143</v>
      </c>
      <c r="F28" s="1" t="s">
        <v>113</v>
      </c>
      <c r="G28" s="1" t="s">
        <v>115</v>
      </c>
      <c r="H28" s="1">
        <v>12</v>
      </c>
      <c r="I28" s="17">
        <f>+J28/H28</f>
        <v>20</v>
      </c>
      <c r="J28" s="17">
        <v>240</v>
      </c>
      <c r="K28" s="2" t="s">
        <v>134</v>
      </c>
      <c r="L28" s="2" t="s">
        <v>135</v>
      </c>
      <c r="M28" s="2" t="s">
        <v>136</v>
      </c>
      <c r="N28" s="2" t="s">
        <v>137</v>
      </c>
      <c r="O28" s="26">
        <v>0.02</v>
      </c>
      <c r="P28" s="26">
        <v>3.5000000000000003E-2</v>
      </c>
      <c r="Q28" s="26">
        <v>0.05</v>
      </c>
      <c r="R28" s="26">
        <v>0.06</v>
      </c>
      <c r="S28" s="2"/>
      <c r="T28" s="22">
        <v>0.08</v>
      </c>
      <c r="U28" s="22">
        <v>0.12</v>
      </c>
      <c r="V28" s="22">
        <v>0.25</v>
      </c>
    </row>
    <row r="29" spans="2:22" x14ac:dyDescent="0.3">
      <c r="B29" s="1" t="s">
        <v>187</v>
      </c>
      <c r="C29" s="1" t="s">
        <v>6</v>
      </c>
      <c r="D29" s="1" t="s">
        <v>3</v>
      </c>
      <c r="E29" s="1" t="s">
        <v>143</v>
      </c>
      <c r="F29" s="1" t="s">
        <v>113</v>
      </c>
      <c r="G29" s="1" t="s">
        <v>115</v>
      </c>
      <c r="H29" s="1">
        <v>12</v>
      </c>
      <c r="I29" s="17">
        <f>+J29/H29</f>
        <v>20</v>
      </c>
      <c r="J29" s="17">
        <v>240</v>
      </c>
      <c r="K29" s="2" t="s">
        <v>134</v>
      </c>
      <c r="L29" s="2" t="s">
        <v>135</v>
      </c>
      <c r="M29" s="2" t="s">
        <v>136</v>
      </c>
      <c r="N29" s="2" t="s">
        <v>137</v>
      </c>
      <c r="O29" s="26">
        <v>0.02</v>
      </c>
      <c r="P29" s="26">
        <v>3.5000000000000003E-2</v>
      </c>
      <c r="Q29" s="26">
        <v>0.05</v>
      </c>
      <c r="R29" s="26">
        <v>0.06</v>
      </c>
      <c r="S29" s="2"/>
      <c r="T29" s="22">
        <v>0.08</v>
      </c>
      <c r="U29" s="22">
        <v>0.12</v>
      </c>
      <c r="V29" s="22">
        <v>0.25</v>
      </c>
    </row>
    <row r="30" spans="2:22" x14ac:dyDescent="0.3">
      <c r="B30" s="1" t="s">
        <v>186</v>
      </c>
      <c r="C30" s="1" t="s">
        <v>6</v>
      </c>
      <c r="D30" s="1" t="s">
        <v>8</v>
      </c>
      <c r="E30" s="1" t="s">
        <v>143</v>
      </c>
      <c r="F30" s="1" t="s">
        <v>113</v>
      </c>
      <c r="G30" s="1" t="s">
        <v>115</v>
      </c>
      <c r="H30" s="1">
        <v>12</v>
      </c>
      <c r="I30" s="17">
        <f>+J30/H30</f>
        <v>20</v>
      </c>
      <c r="J30" s="17">
        <v>240</v>
      </c>
      <c r="K30" s="2" t="s">
        <v>134</v>
      </c>
      <c r="L30" s="2" t="s">
        <v>135</v>
      </c>
      <c r="M30" s="2" t="s">
        <v>136</v>
      </c>
      <c r="N30" s="2" t="s">
        <v>137</v>
      </c>
      <c r="O30" s="26">
        <v>0.02</v>
      </c>
      <c r="P30" s="26">
        <v>3.5000000000000003E-2</v>
      </c>
      <c r="Q30" s="26">
        <v>0.05</v>
      </c>
      <c r="R30" s="26">
        <v>0.06</v>
      </c>
      <c r="S30" s="2"/>
      <c r="T30" s="22">
        <v>0.08</v>
      </c>
      <c r="U30" s="22">
        <v>0.12</v>
      </c>
      <c r="V30" s="22">
        <v>0.25</v>
      </c>
    </row>
    <row r="31" spans="2:22" x14ac:dyDescent="0.3">
      <c r="B31" s="1" t="s">
        <v>184</v>
      </c>
      <c r="C31" s="1" t="s">
        <v>6</v>
      </c>
      <c r="D31" s="1" t="s">
        <v>9</v>
      </c>
      <c r="E31" s="1" t="s">
        <v>143</v>
      </c>
      <c r="F31" s="1" t="s">
        <v>113</v>
      </c>
      <c r="G31" s="1" t="s">
        <v>115</v>
      </c>
      <c r="H31" s="1">
        <v>12</v>
      </c>
      <c r="I31" s="17">
        <f>+J31/H31</f>
        <v>20</v>
      </c>
      <c r="J31" s="17">
        <v>240</v>
      </c>
      <c r="K31" s="2" t="s">
        <v>134</v>
      </c>
      <c r="L31" s="2" t="s">
        <v>135</v>
      </c>
      <c r="M31" s="2" t="s">
        <v>136</v>
      </c>
      <c r="N31" s="2" t="s">
        <v>137</v>
      </c>
      <c r="O31" s="26">
        <v>0.02</v>
      </c>
      <c r="P31" s="26">
        <v>3.5000000000000003E-2</v>
      </c>
      <c r="Q31" s="26">
        <v>0.05</v>
      </c>
      <c r="R31" s="26">
        <v>0.06</v>
      </c>
      <c r="S31" s="2"/>
      <c r="T31" s="22">
        <v>0.08</v>
      </c>
      <c r="U31" s="22">
        <v>0.12</v>
      </c>
      <c r="V31" s="22">
        <v>0.25</v>
      </c>
    </row>
    <row r="32" spans="2:22" x14ac:dyDescent="0.3">
      <c r="B32" s="1" t="s">
        <v>188</v>
      </c>
      <c r="C32" s="1" t="s">
        <v>18</v>
      </c>
      <c r="D32" s="1" t="s">
        <v>7</v>
      </c>
      <c r="E32" s="1" t="s">
        <v>144</v>
      </c>
      <c r="F32" s="1" t="s">
        <v>113</v>
      </c>
      <c r="G32" s="1" t="s">
        <v>116</v>
      </c>
      <c r="H32" s="1">
        <v>30</v>
      </c>
      <c r="I32" s="17">
        <f>+J32/H32</f>
        <v>7.4</v>
      </c>
      <c r="J32" s="17">
        <v>222</v>
      </c>
      <c r="K32" s="2" t="s">
        <v>153</v>
      </c>
      <c r="L32" s="2" t="s">
        <v>154</v>
      </c>
      <c r="M32" s="2" t="s">
        <v>155</v>
      </c>
      <c r="N32" s="2" t="s">
        <v>156</v>
      </c>
      <c r="O32" s="26">
        <v>0.02</v>
      </c>
      <c r="P32" s="26">
        <v>3.5000000000000003E-2</v>
      </c>
      <c r="Q32" s="26">
        <v>0.05</v>
      </c>
      <c r="R32" s="26">
        <v>0.06</v>
      </c>
      <c r="S32" s="2"/>
      <c r="T32" s="22">
        <v>0.08</v>
      </c>
      <c r="U32" s="22">
        <v>0.12</v>
      </c>
      <c r="V32" s="22">
        <v>0.25</v>
      </c>
    </row>
    <row r="33" spans="2:22" x14ac:dyDescent="0.3">
      <c r="B33" s="1" t="s">
        <v>189</v>
      </c>
      <c r="C33" s="1" t="s">
        <v>18</v>
      </c>
      <c r="D33" s="1" t="s">
        <v>3</v>
      </c>
      <c r="E33" s="1" t="s">
        <v>144</v>
      </c>
      <c r="F33" s="1" t="s">
        <v>113</v>
      </c>
      <c r="G33" s="1" t="s">
        <v>116</v>
      </c>
      <c r="H33" s="1">
        <v>30</v>
      </c>
      <c r="I33" s="17">
        <f>+J33/H33</f>
        <v>7.4</v>
      </c>
      <c r="J33" s="17">
        <v>222</v>
      </c>
      <c r="K33" s="2" t="s">
        <v>153</v>
      </c>
      <c r="L33" s="2" t="s">
        <v>154</v>
      </c>
      <c r="M33" s="2" t="s">
        <v>155</v>
      </c>
      <c r="N33" s="2" t="s">
        <v>156</v>
      </c>
      <c r="O33" s="26">
        <v>0.02</v>
      </c>
      <c r="P33" s="26">
        <v>3.5000000000000003E-2</v>
      </c>
      <c r="Q33" s="26">
        <v>0.05</v>
      </c>
      <c r="R33" s="26">
        <v>0.06</v>
      </c>
      <c r="S33" s="2"/>
      <c r="T33" s="22">
        <v>0.08</v>
      </c>
      <c r="U33" s="22">
        <v>0.12</v>
      </c>
      <c r="V33" s="22">
        <v>0.25</v>
      </c>
    </row>
    <row r="34" spans="2:22" x14ac:dyDescent="0.3">
      <c r="B34" s="1" t="s">
        <v>185</v>
      </c>
      <c r="C34" s="1" t="s">
        <v>18</v>
      </c>
      <c r="D34" s="1" t="s">
        <v>8</v>
      </c>
      <c r="E34" s="1" t="s">
        <v>144</v>
      </c>
      <c r="F34" s="1" t="s">
        <v>113</v>
      </c>
      <c r="G34" s="1" t="s">
        <v>116</v>
      </c>
      <c r="H34" s="1">
        <v>30</v>
      </c>
      <c r="I34" s="17">
        <f>+J34/H34</f>
        <v>7.4</v>
      </c>
      <c r="J34" s="17">
        <v>222</v>
      </c>
      <c r="K34" s="2" t="s">
        <v>153</v>
      </c>
      <c r="L34" s="2" t="s">
        <v>154</v>
      </c>
      <c r="M34" s="2" t="s">
        <v>155</v>
      </c>
      <c r="N34" s="2" t="s">
        <v>156</v>
      </c>
      <c r="O34" s="26">
        <v>0.02</v>
      </c>
      <c r="P34" s="26">
        <v>3.5000000000000003E-2</v>
      </c>
      <c r="Q34" s="26">
        <v>0.05</v>
      </c>
      <c r="R34" s="26">
        <v>0.06</v>
      </c>
      <c r="S34" s="2"/>
      <c r="T34" s="22">
        <v>0.08</v>
      </c>
      <c r="U34" s="22">
        <v>0.12</v>
      </c>
      <c r="V34" s="22">
        <v>0.25</v>
      </c>
    </row>
    <row r="35" spans="2:22" x14ac:dyDescent="0.3">
      <c r="B35" s="1" t="s">
        <v>183</v>
      </c>
      <c r="C35" s="1" t="s">
        <v>18</v>
      </c>
      <c r="D35" s="1" t="s">
        <v>9</v>
      </c>
      <c r="E35" s="1" t="s">
        <v>144</v>
      </c>
      <c r="F35" s="1" t="s">
        <v>113</v>
      </c>
      <c r="G35" s="1" t="s">
        <v>116</v>
      </c>
      <c r="H35" s="1">
        <v>30</v>
      </c>
      <c r="I35" s="17">
        <f>+J35/H35</f>
        <v>7.4</v>
      </c>
      <c r="J35" s="17">
        <v>222</v>
      </c>
      <c r="K35" s="2" t="s">
        <v>153</v>
      </c>
      <c r="L35" s="2" t="s">
        <v>154</v>
      </c>
      <c r="M35" s="2" t="s">
        <v>155</v>
      </c>
      <c r="N35" s="2" t="s">
        <v>156</v>
      </c>
      <c r="O35" s="26">
        <v>0.02</v>
      </c>
      <c r="P35" s="26">
        <v>3.5000000000000003E-2</v>
      </c>
      <c r="Q35" s="26">
        <v>0.05</v>
      </c>
      <c r="R35" s="26">
        <v>0.06</v>
      </c>
      <c r="S35" s="2"/>
      <c r="T35" s="22">
        <v>0.08</v>
      </c>
      <c r="U35" s="22">
        <v>0.12</v>
      </c>
      <c r="V35" s="22">
        <v>0.25</v>
      </c>
    </row>
    <row r="36" spans="2:22" x14ac:dyDescent="0.3">
      <c r="B36" s="1" t="s">
        <v>194</v>
      </c>
      <c r="C36" s="1" t="s">
        <v>29</v>
      </c>
      <c r="D36" s="1" t="s">
        <v>30</v>
      </c>
      <c r="E36" s="1" t="s">
        <v>124</v>
      </c>
      <c r="F36" s="1" t="s">
        <v>114</v>
      </c>
      <c r="G36" s="1" t="s">
        <v>117</v>
      </c>
      <c r="H36" s="1">
        <v>5</v>
      </c>
      <c r="I36" s="17">
        <f>+J36/H36</f>
        <v>11.5</v>
      </c>
      <c r="J36" s="17">
        <v>57.5</v>
      </c>
      <c r="K36" s="2" t="s">
        <v>157</v>
      </c>
      <c r="L36" s="2" t="s">
        <v>158</v>
      </c>
      <c r="M36" s="2" t="s">
        <v>159</v>
      </c>
      <c r="N36" s="2" t="s">
        <v>160</v>
      </c>
      <c r="O36" s="26">
        <v>0.02</v>
      </c>
      <c r="P36" s="26">
        <v>3.5000000000000003E-2</v>
      </c>
      <c r="Q36" s="26">
        <v>0.05</v>
      </c>
      <c r="R36" s="26">
        <v>0.06</v>
      </c>
      <c r="S36" s="2"/>
      <c r="T36" s="22">
        <v>0.08</v>
      </c>
      <c r="U36" s="22">
        <v>0.12</v>
      </c>
      <c r="V36" s="22">
        <v>0.25</v>
      </c>
    </row>
    <row r="37" spans="2:22" x14ac:dyDescent="0.3">
      <c r="B37" s="1" t="s">
        <v>193</v>
      </c>
      <c r="C37" s="1" t="s">
        <v>120</v>
      </c>
      <c r="D37" s="1" t="s">
        <v>3</v>
      </c>
      <c r="E37" s="1" t="s">
        <v>145</v>
      </c>
      <c r="F37" s="1" t="s">
        <v>113</v>
      </c>
      <c r="G37" s="1" t="s">
        <v>113</v>
      </c>
      <c r="H37" s="1">
        <v>12</v>
      </c>
      <c r="I37" s="17">
        <f>+J37/H37</f>
        <v>34</v>
      </c>
      <c r="J37" s="17">
        <v>408</v>
      </c>
      <c r="K37" s="2" t="s">
        <v>153</v>
      </c>
      <c r="L37" s="2" t="s">
        <v>154</v>
      </c>
      <c r="M37" s="2" t="s">
        <v>155</v>
      </c>
      <c r="N37" s="2" t="s">
        <v>156</v>
      </c>
      <c r="O37" s="26">
        <v>0.02</v>
      </c>
      <c r="P37" s="26">
        <v>3.5000000000000003E-2</v>
      </c>
      <c r="Q37" s="26">
        <v>0.05</v>
      </c>
      <c r="R37" s="26">
        <v>0.06</v>
      </c>
      <c r="S37" s="2"/>
      <c r="T37" s="22">
        <v>0.08</v>
      </c>
      <c r="U37" s="22">
        <v>0.12</v>
      </c>
      <c r="V37" s="22">
        <v>0.25</v>
      </c>
    </row>
    <row r="38" spans="2:22" x14ac:dyDescent="0.3">
      <c r="B38" s="1" t="s">
        <v>191</v>
      </c>
      <c r="C38" s="1" t="s">
        <v>23</v>
      </c>
      <c r="D38" s="1" t="s">
        <v>24</v>
      </c>
      <c r="E38" s="1" t="s">
        <v>146</v>
      </c>
      <c r="F38" s="1" t="s">
        <v>114</v>
      </c>
      <c r="G38" s="1" t="s">
        <v>117</v>
      </c>
      <c r="H38" s="1">
        <v>11</v>
      </c>
      <c r="I38" s="17">
        <f>+J38/H38</f>
        <v>32.727272727272727</v>
      </c>
      <c r="J38" s="17">
        <v>360</v>
      </c>
      <c r="K38" s="2" t="s">
        <v>134</v>
      </c>
      <c r="L38" s="2" t="s">
        <v>135</v>
      </c>
      <c r="M38" s="2" t="s">
        <v>136</v>
      </c>
      <c r="N38" s="2" t="s">
        <v>137</v>
      </c>
      <c r="O38" s="26">
        <v>0.02</v>
      </c>
      <c r="P38" s="26">
        <v>3.5000000000000003E-2</v>
      </c>
      <c r="Q38" s="26">
        <v>0.05</v>
      </c>
      <c r="R38" s="26">
        <v>0.06</v>
      </c>
      <c r="S38" s="2"/>
      <c r="T38" s="22">
        <v>0.08</v>
      </c>
      <c r="U38" s="22">
        <v>0.12</v>
      </c>
      <c r="V38" s="22">
        <v>0.25</v>
      </c>
    </row>
    <row r="39" spans="2:22" x14ac:dyDescent="0.3">
      <c r="B39" s="1" t="s">
        <v>192</v>
      </c>
      <c r="C39" s="1" t="s">
        <v>119</v>
      </c>
      <c r="D39" s="1" t="s">
        <v>24</v>
      </c>
      <c r="E39" s="1" t="s">
        <v>145</v>
      </c>
      <c r="F39" s="1" t="s">
        <v>114</v>
      </c>
      <c r="G39" s="1" t="s">
        <v>117</v>
      </c>
      <c r="H39" s="1">
        <v>15</v>
      </c>
      <c r="I39" s="17">
        <f>+J39/H39</f>
        <v>10</v>
      </c>
      <c r="J39" s="17">
        <v>150</v>
      </c>
      <c r="K39" s="2" t="s">
        <v>134</v>
      </c>
      <c r="L39" s="2" t="s">
        <v>135</v>
      </c>
      <c r="M39" s="2" t="s">
        <v>136</v>
      </c>
      <c r="N39" s="2" t="s">
        <v>137</v>
      </c>
      <c r="O39" s="26">
        <v>0.02</v>
      </c>
      <c r="P39" s="26">
        <v>3.5000000000000003E-2</v>
      </c>
      <c r="Q39" s="26">
        <v>0.05</v>
      </c>
      <c r="R39" s="26">
        <v>0.06</v>
      </c>
      <c r="S39" s="2"/>
      <c r="T39" s="22">
        <v>0.08</v>
      </c>
      <c r="U39" s="22">
        <v>0.12</v>
      </c>
      <c r="V39" s="22">
        <v>0.25</v>
      </c>
    </row>
    <row r="40" spans="2:22" x14ac:dyDescent="0.3">
      <c r="B40" s="1" t="s">
        <v>196</v>
      </c>
      <c r="C40" s="1" t="s">
        <v>20</v>
      </c>
      <c r="D40" s="1" t="s">
        <v>11</v>
      </c>
      <c r="E40" s="1" t="s">
        <v>147</v>
      </c>
      <c r="F40" s="1" t="s">
        <v>114</v>
      </c>
      <c r="G40" s="1" t="s">
        <v>116</v>
      </c>
      <c r="H40" s="1">
        <v>20</v>
      </c>
      <c r="I40" s="17">
        <f>+J40/H40</f>
        <v>7.4</v>
      </c>
      <c r="J40" s="17">
        <v>148</v>
      </c>
      <c r="K40" s="2" t="s">
        <v>134</v>
      </c>
      <c r="L40" s="2" t="s">
        <v>135</v>
      </c>
      <c r="M40" s="2" t="s">
        <v>136</v>
      </c>
      <c r="N40" s="2" t="s">
        <v>137</v>
      </c>
      <c r="O40" s="26">
        <v>0.02</v>
      </c>
      <c r="P40" s="26">
        <v>3.5000000000000003E-2</v>
      </c>
      <c r="Q40" s="26">
        <v>0.05</v>
      </c>
      <c r="R40" s="26">
        <v>0.06</v>
      </c>
      <c r="S40" s="2"/>
      <c r="T40" s="22">
        <v>0.08</v>
      </c>
      <c r="U40" s="22">
        <v>0.12</v>
      </c>
      <c r="V40" s="22">
        <v>0.25</v>
      </c>
    </row>
    <row r="41" spans="2:22" x14ac:dyDescent="0.3">
      <c r="B41" s="1" t="s">
        <v>195</v>
      </c>
      <c r="C41" s="1" t="s">
        <v>12</v>
      </c>
      <c r="D41" s="1" t="s">
        <v>11</v>
      </c>
      <c r="E41" s="1" t="s">
        <v>148</v>
      </c>
      <c r="F41" s="1" t="s">
        <v>114</v>
      </c>
      <c r="G41" s="1" t="s">
        <v>115</v>
      </c>
      <c r="H41" s="1">
        <v>5</v>
      </c>
      <c r="I41" s="17">
        <f>+J41/H41</f>
        <v>20</v>
      </c>
      <c r="J41" s="17">
        <v>100</v>
      </c>
      <c r="K41" s="2" t="s">
        <v>134</v>
      </c>
      <c r="L41" s="2" t="s">
        <v>135</v>
      </c>
      <c r="M41" s="2" t="s">
        <v>136</v>
      </c>
      <c r="N41" s="2" t="s">
        <v>137</v>
      </c>
      <c r="O41" s="26">
        <v>0.02</v>
      </c>
      <c r="P41" s="26">
        <v>3.5000000000000003E-2</v>
      </c>
      <c r="Q41" s="26">
        <v>0.05</v>
      </c>
      <c r="R41" s="26">
        <v>0.06</v>
      </c>
      <c r="S41" s="2"/>
      <c r="T41" s="22">
        <v>0.08</v>
      </c>
      <c r="U41" s="22">
        <v>0.12</v>
      </c>
      <c r="V41" s="22">
        <v>0.25</v>
      </c>
    </row>
    <row r="42" spans="2:22" x14ac:dyDescent="0.3">
      <c r="B42" s="1" t="s">
        <v>178</v>
      </c>
      <c r="C42" s="1" t="s">
        <v>177</v>
      </c>
      <c r="D42" s="1" t="s">
        <v>200</v>
      </c>
      <c r="E42" s="1" t="s">
        <v>201</v>
      </c>
      <c r="F42" s="1" t="s">
        <v>113</v>
      </c>
      <c r="G42" s="1" t="s">
        <v>117</v>
      </c>
      <c r="H42" s="1">
        <v>15</v>
      </c>
      <c r="I42" s="17">
        <v>11.5</v>
      </c>
      <c r="J42" s="17">
        <v>157.5</v>
      </c>
      <c r="K42" s="2" t="s">
        <v>134</v>
      </c>
      <c r="L42" s="2" t="s">
        <v>135</v>
      </c>
      <c r="M42" s="2" t="s">
        <v>136</v>
      </c>
      <c r="N42" s="2" t="s">
        <v>137</v>
      </c>
      <c r="O42" s="26">
        <v>0.02</v>
      </c>
      <c r="P42" s="26">
        <v>3.5000000000000003E-2</v>
      </c>
      <c r="Q42" s="26">
        <v>0.05</v>
      </c>
      <c r="R42" s="26">
        <v>0.06</v>
      </c>
      <c r="S42" s="2"/>
      <c r="T42" s="22">
        <v>0.08</v>
      </c>
      <c r="U42" s="22">
        <v>0.12</v>
      </c>
      <c r="V42" s="22">
        <v>0.25</v>
      </c>
    </row>
  </sheetData>
  <autoFilter ref="C5:J41" xr:uid="{00000000-0001-0000-0000-000000000000}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75"/>
  <sheetViews>
    <sheetView topLeftCell="A52" workbookViewId="0">
      <selection activeCell="C18" sqref="C18"/>
    </sheetView>
  </sheetViews>
  <sheetFormatPr baseColWidth="10" defaultRowHeight="14.4" x14ac:dyDescent="0.3"/>
  <cols>
    <col min="3" max="3" width="33.77734375" bestFit="1" customWidth="1"/>
    <col min="4" max="4" width="14.88671875" bestFit="1" customWidth="1"/>
  </cols>
  <sheetData>
    <row r="3" spans="2:5" x14ac:dyDescent="0.3">
      <c r="B3" s="9" t="s">
        <v>34</v>
      </c>
      <c r="C3" s="9" t="s">
        <v>35</v>
      </c>
      <c r="D3" s="9" t="s">
        <v>36</v>
      </c>
    </row>
    <row r="4" spans="2:5" ht="14.4" customHeight="1" x14ac:dyDescent="0.3">
      <c r="B4">
        <v>200</v>
      </c>
      <c r="C4" t="s">
        <v>37</v>
      </c>
      <c r="D4" t="s">
        <v>32</v>
      </c>
      <c r="E4" s="7"/>
    </row>
    <row r="5" spans="2:5" ht="14.4" customHeight="1" x14ac:dyDescent="0.3">
      <c r="B5">
        <v>201</v>
      </c>
      <c r="C5" t="s">
        <v>38</v>
      </c>
      <c r="D5" t="s">
        <v>32</v>
      </c>
      <c r="E5" s="7"/>
    </row>
    <row r="6" spans="2:5" ht="14.4" customHeight="1" x14ac:dyDescent="0.3">
      <c r="B6">
        <v>154</v>
      </c>
      <c r="C6" t="s">
        <v>39</v>
      </c>
      <c r="D6" t="s">
        <v>40</v>
      </c>
      <c r="E6" s="8"/>
    </row>
    <row r="7" spans="2:5" x14ac:dyDescent="0.3">
      <c r="B7">
        <v>277</v>
      </c>
      <c r="C7" t="s">
        <v>41</v>
      </c>
      <c r="D7" t="s">
        <v>40</v>
      </c>
      <c r="E7" s="8"/>
    </row>
    <row r="8" spans="2:5" x14ac:dyDescent="0.3">
      <c r="B8">
        <v>279</v>
      </c>
      <c r="C8" t="s">
        <v>42</v>
      </c>
      <c r="D8" t="s">
        <v>40</v>
      </c>
    </row>
    <row r="9" spans="2:5" x14ac:dyDescent="0.3">
      <c r="B9">
        <v>156</v>
      </c>
      <c r="C9" t="s">
        <v>43</v>
      </c>
      <c r="D9" t="s">
        <v>40</v>
      </c>
    </row>
    <row r="10" spans="2:5" x14ac:dyDescent="0.3">
      <c r="B10">
        <v>260</v>
      </c>
      <c r="C10" t="s">
        <v>44</v>
      </c>
      <c r="D10" t="s">
        <v>40</v>
      </c>
    </row>
    <row r="11" spans="2:5" x14ac:dyDescent="0.3">
      <c r="B11">
        <v>270</v>
      </c>
      <c r="C11" t="s">
        <v>45</v>
      </c>
      <c r="D11" t="s">
        <v>40</v>
      </c>
    </row>
    <row r="12" spans="2:5" x14ac:dyDescent="0.3">
      <c r="B12">
        <v>936</v>
      </c>
      <c r="C12" t="s">
        <v>46</v>
      </c>
      <c r="D12" t="s">
        <v>50</v>
      </c>
    </row>
    <row r="13" spans="2:5" x14ac:dyDescent="0.3">
      <c r="B13">
        <v>1333</v>
      </c>
      <c r="C13" t="s">
        <v>47</v>
      </c>
      <c r="D13" t="s">
        <v>40</v>
      </c>
    </row>
    <row r="14" spans="2:5" x14ac:dyDescent="0.3">
      <c r="B14">
        <v>260</v>
      </c>
      <c r="C14" t="s">
        <v>44</v>
      </c>
      <c r="D14" t="s">
        <v>40</v>
      </c>
    </row>
    <row r="15" spans="2:5" x14ac:dyDescent="0.3">
      <c r="B15">
        <v>265</v>
      </c>
      <c r="C15" t="s">
        <v>48</v>
      </c>
      <c r="D15" t="s">
        <v>40</v>
      </c>
    </row>
    <row r="16" spans="2:5" x14ac:dyDescent="0.3">
      <c r="B16">
        <v>1177</v>
      </c>
      <c r="C16" t="s">
        <v>49</v>
      </c>
      <c r="D16" t="s">
        <v>50</v>
      </c>
    </row>
    <row r="17" spans="2:4" x14ac:dyDescent="0.3">
      <c r="B17">
        <v>473</v>
      </c>
      <c r="C17" t="s">
        <v>51</v>
      </c>
      <c r="D17" t="s">
        <v>50</v>
      </c>
    </row>
    <row r="18" spans="2:4" x14ac:dyDescent="0.3">
      <c r="B18">
        <v>137</v>
      </c>
      <c r="C18" t="s">
        <v>52</v>
      </c>
      <c r="D18" t="s">
        <v>68</v>
      </c>
    </row>
    <row r="19" spans="2:4" x14ac:dyDescent="0.3">
      <c r="B19">
        <v>1323</v>
      </c>
      <c r="C19" t="s">
        <v>53</v>
      </c>
      <c r="D19" t="s">
        <v>68</v>
      </c>
    </row>
    <row r="20" spans="2:4" x14ac:dyDescent="0.3">
      <c r="B20">
        <v>1322</v>
      </c>
      <c r="C20" t="s">
        <v>54</v>
      </c>
      <c r="D20" t="s">
        <v>68</v>
      </c>
    </row>
    <row r="21" spans="2:4" x14ac:dyDescent="0.3">
      <c r="B21">
        <v>989</v>
      </c>
      <c r="C21" t="s">
        <v>55</v>
      </c>
      <c r="D21" t="s">
        <v>68</v>
      </c>
    </row>
    <row r="22" spans="2:4" x14ac:dyDescent="0.3">
      <c r="B22">
        <v>138</v>
      </c>
      <c r="C22" t="s">
        <v>56</v>
      </c>
      <c r="D22" t="s">
        <v>68</v>
      </c>
    </row>
    <row r="23" spans="2:4" x14ac:dyDescent="0.3">
      <c r="B23">
        <v>986</v>
      </c>
      <c r="C23" t="s">
        <v>57</v>
      </c>
      <c r="D23" t="s">
        <v>68</v>
      </c>
    </row>
    <row r="24" spans="2:4" x14ac:dyDescent="0.3">
      <c r="B24">
        <v>990</v>
      </c>
      <c r="C24" t="s">
        <v>58</v>
      </c>
      <c r="D24" t="s">
        <v>68</v>
      </c>
    </row>
    <row r="25" spans="2:4" x14ac:dyDescent="0.3">
      <c r="B25">
        <v>139</v>
      </c>
      <c r="C25" t="s">
        <v>59</v>
      </c>
      <c r="D25" t="s">
        <v>68</v>
      </c>
    </row>
    <row r="26" spans="2:4" x14ac:dyDescent="0.3">
      <c r="B26">
        <v>1321</v>
      </c>
      <c r="C26" t="s">
        <v>60</v>
      </c>
      <c r="D26" t="s">
        <v>68</v>
      </c>
    </row>
    <row r="27" spans="2:4" x14ac:dyDescent="0.3">
      <c r="B27">
        <v>140</v>
      </c>
      <c r="C27" t="s">
        <v>61</v>
      </c>
      <c r="D27" t="s">
        <v>68</v>
      </c>
    </row>
    <row r="28" spans="2:4" x14ac:dyDescent="0.3">
      <c r="B28">
        <v>141</v>
      </c>
      <c r="C28" t="s">
        <v>62</v>
      </c>
      <c r="D28" t="s">
        <v>68</v>
      </c>
    </row>
    <row r="29" spans="2:4" x14ac:dyDescent="0.3">
      <c r="B29">
        <v>142</v>
      </c>
      <c r="C29" t="s">
        <v>63</v>
      </c>
      <c r="D29" t="s">
        <v>68</v>
      </c>
    </row>
    <row r="30" spans="2:4" x14ac:dyDescent="0.3">
      <c r="B30">
        <v>143</v>
      </c>
      <c r="C30" t="s">
        <v>64</v>
      </c>
      <c r="D30" t="s">
        <v>68</v>
      </c>
    </row>
    <row r="31" spans="2:4" x14ac:dyDescent="0.3">
      <c r="B31">
        <v>144</v>
      </c>
      <c r="C31" t="s">
        <v>65</v>
      </c>
      <c r="D31" t="s">
        <v>68</v>
      </c>
    </row>
    <row r="32" spans="2:4" x14ac:dyDescent="0.3">
      <c r="B32">
        <v>432</v>
      </c>
      <c r="C32" t="s">
        <v>66</v>
      </c>
      <c r="D32" t="s">
        <v>68</v>
      </c>
    </row>
    <row r="33" spans="2:4" x14ac:dyDescent="0.3">
      <c r="B33">
        <v>145</v>
      </c>
      <c r="C33" t="s">
        <v>67</v>
      </c>
      <c r="D33" t="s">
        <v>68</v>
      </c>
    </row>
    <row r="34" spans="2:4" x14ac:dyDescent="0.3">
      <c r="B34">
        <v>987</v>
      </c>
      <c r="C34" t="s">
        <v>69</v>
      </c>
      <c r="D34" t="s">
        <v>68</v>
      </c>
    </row>
    <row r="35" spans="2:4" x14ac:dyDescent="0.3">
      <c r="B35">
        <v>146</v>
      </c>
      <c r="C35" t="s">
        <v>70</v>
      </c>
      <c r="D35" t="s">
        <v>68</v>
      </c>
    </row>
    <row r="36" spans="2:4" x14ac:dyDescent="0.3">
      <c r="B36">
        <v>147</v>
      </c>
      <c r="C36" t="s">
        <v>71</v>
      </c>
      <c r="D36" t="s">
        <v>68</v>
      </c>
    </row>
    <row r="37" spans="2:4" x14ac:dyDescent="0.3">
      <c r="B37">
        <v>148</v>
      </c>
      <c r="C37" t="s">
        <v>72</v>
      </c>
      <c r="D37" t="s">
        <v>68</v>
      </c>
    </row>
    <row r="38" spans="2:4" x14ac:dyDescent="0.3">
      <c r="B38">
        <v>149</v>
      </c>
      <c r="C38" t="s">
        <v>73</v>
      </c>
      <c r="D38" t="s">
        <v>68</v>
      </c>
    </row>
    <row r="39" spans="2:4" x14ac:dyDescent="0.3">
      <c r="B39">
        <v>150</v>
      </c>
      <c r="C39" t="s">
        <v>74</v>
      </c>
      <c r="D39" t="s">
        <v>68</v>
      </c>
    </row>
    <row r="40" spans="2:4" x14ac:dyDescent="0.3">
      <c r="B40">
        <v>988</v>
      </c>
      <c r="C40" t="s">
        <v>75</v>
      </c>
      <c r="D40" t="s">
        <v>68</v>
      </c>
    </row>
    <row r="41" spans="2:4" x14ac:dyDescent="0.3">
      <c r="B41">
        <v>870</v>
      </c>
      <c r="C41" t="s">
        <v>76</v>
      </c>
      <c r="D41" t="s">
        <v>68</v>
      </c>
    </row>
    <row r="42" spans="2:4" x14ac:dyDescent="0.3">
      <c r="B42">
        <v>193</v>
      </c>
      <c r="C42" t="s">
        <v>77</v>
      </c>
      <c r="D42" t="s">
        <v>68</v>
      </c>
    </row>
    <row r="43" spans="2:4" x14ac:dyDescent="0.3">
      <c r="B43">
        <v>194</v>
      </c>
      <c r="C43" t="s">
        <v>78</v>
      </c>
      <c r="D43" t="s">
        <v>68</v>
      </c>
    </row>
    <row r="44" spans="2:4" x14ac:dyDescent="0.3">
      <c r="B44">
        <v>195</v>
      </c>
      <c r="C44" t="s">
        <v>79</v>
      </c>
      <c r="D44" t="s">
        <v>68</v>
      </c>
    </row>
    <row r="45" spans="2:4" x14ac:dyDescent="0.3">
      <c r="B45">
        <v>281</v>
      </c>
      <c r="C45" t="s">
        <v>80</v>
      </c>
      <c r="D45" t="s">
        <v>68</v>
      </c>
    </row>
    <row r="46" spans="2:4" x14ac:dyDescent="0.3">
      <c r="B46">
        <v>196</v>
      </c>
      <c r="C46" t="s">
        <v>81</v>
      </c>
      <c r="D46" t="s">
        <v>68</v>
      </c>
    </row>
    <row r="47" spans="2:4" x14ac:dyDescent="0.3">
      <c r="B47">
        <v>197</v>
      </c>
      <c r="C47" t="s">
        <v>82</v>
      </c>
      <c r="D47" t="s">
        <v>68</v>
      </c>
    </row>
    <row r="48" spans="2:4" x14ac:dyDescent="0.3">
      <c r="B48">
        <v>198</v>
      </c>
      <c r="C48" t="s">
        <v>83</v>
      </c>
      <c r="D48" t="s">
        <v>68</v>
      </c>
    </row>
    <row r="49" spans="2:4" x14ac:dyDescent="0.3">
      <c r="B49">
        <v>753</v>
      </c>
      <c r="C49" t="s">
        <v>84</v>
      </c>
      <c r="D49" t="s">
        <v>68</v>
      </c>
    </row>
    <row r="50" spans="2:4" x14ac:dyDescent="0.3">
      <c r="B50">
        <v>113</v>
      </c>
      <c r="C50" t="s">
        <v>85</v>
      </c>
      <c r="D50" t="s">
        <v>68</v>
      </c>
    </row>
    <row r="51" spans="2:4" x14ac:dyDescent="0.3">
      <c r="B51">
        <v>114</v>
      </c>
      <c r="C51" t="s">
        <v>86</v>
      </c>
      <c r="D51" t="s">
        <v>68</v>
      </c>
    </row>
    <row r="52" spans="2:4" x14ac:dyDescent="0.3">
      <c r="B52">
        <v>115</v>
      </c>
      <c r="C52" t="s">
        <v>87</v>
      </c>
      <c r="D52" t="s">
        <v>68</v>
      </c>
    </row>
    <row r="53" spans="2:4" x14ac:dyDescent="0.3">
      <c r="B53">
        <v>272</v>
      </c>
      <c r="C53" t="s">
        <v>88</v>
      </c>
      <c r="D53" t="s">
        <v>68</v>
      </c>
    </row>
    <row r="54" spans="2:4" x14ac:dyDescent="0.3">
      <c r="B54">
        <v>273</v>
      </c>
      <c r="C54" t="s">
        <v>89</v>
      </c>
      <c r="D54" t="s">
        <v>68</v>
      </c>
    </row>
    <row r="55" spans="2:4" x14ac:dyDescent="0.3">
      <c r="B55">
        <v>116</v>
      </c>
      <c r="C55" t="s">
        <v>90</v>
      </c>
      <c r="D55" t="s">
        <v>68</v>
      </c>
    </row>
    <row r="56" spans="2:4" x14ac:dyDescent="0.3">
      <c r="B56">
        <v>117</v>
      </c>
      <c r="C56" t="s">
        <v>91</v>
      </c>
      <c r="D56" t="s">
        <v>68</v>
      </c>
    </row>
    <row r="57" spans="2:4" x14ac:dyDescent="0.3">
      <c r="B57">
        <v>118</v>
      </c>
      <c r="C57" t="s">
        <v>92</v>
      </c>
      <c r="D57" t="s">
        <v>68</v>
      </c>
    </row>
    <row r="58" spans="2:4" x14ac:dyDescent="0.3">
      <c r="B58">
        <v>119</v>
      </c>
      <c r="C58" t="s">
        <v>93</v>
      </c>
      <c r="D58" t="s">
        <v>68</v>
      </c>
    </row>
    <row r="59" spans="2:4" x14ac:dyDescent="0.3">
      <c r="B59">
        <v>120</v>
      </c>
      <c r="C59" t="s">
        <v>94</v>
      </c>
      <c r="D59" t="s">
        <v>68</v>
      </c>
    </row>
    <row r="60" spans="2:4" x14ac:dyDescent="0.3">
      <c r="B60">
        <v>121</v>
      </c>
      <c r="C60" t="s">
        <v>95</v>
      </c>
      <c r="D60" t="s">
        <v>68</v>
      </c>
    </row>
    <row r="61" spans="2:4" x14ac:dyDescent="0.3">
      <c r="B61">
        <v>122</v>
      </c>
      <c r="C61" t="s">
        <v>96</v>
      </c>
      <c r="D61" t="s">
        <v>68</v>
      </c>
    </row>
    <row r="62" spans="2:4" x14ac:dyDescent="0.3">
      <c r="B62">
        <v>123</v>
      </c>
      <c r="C62" t="s">
        <v>97</v>
      </c>
      <c r="D62" t="s">
        <v>68</v>
      </c>
    </row>
    <row r="63" spans="2:4" x14ac:dyDescent="0.3">
      <c r="B63">
        <v>124</v>
      </c>
      <c r="C63" t="s">
        <v>98</v>
      </c>
      <c r="D63" t="s">
        <v>68</v>
      </c>
    </row>
    <row r="64" spans="2:4" x14ac:dyDescent="0.3">
      <c r="B64">
        <v>125</v>
      </c>
      <c r="C64" t="s">
        <v>99</v>
      </c>
      <c r="D64" t="s">
        <v>68</v>
      </c>
    </row>
    <row r="65" spans="2:4" x14ac:dyDescent="0.3">
      <c r="B65">
        <v>126</v>
      </c>
      <c r="C65" t="s">
        <v>100</v>
      </c>
      <c r="D65" t="s">
        <v>68</v>
      </c>
    </row>
    <row r="66" spans="2:4" x14ac:dyDescent="0.3">
      <c r="B66">
        <v>127</v>
      </c>
      <c r="C66" t="s">
        <v>101</v>
      </c>
      <c r="D66" t="s">
        <v>68</v>
      </c>
    </row>
    <row r="67" spans="2:4" x14ac:dyDescent="0.3">
      <c r="B67">
        <v>128</v>
      </c>
      <c r="C67" t="s">
        <v>102</v>
      </c>
      <c r="D67" t="s">
        <v>68</v>
      </c>
    </row>
    <row r="68" spans="2:4" x14ac:dyDescent="0.3">
      <c r="B68">
        <v>129</v>
      </c>
      <c r="C68" t="s">
        <v>103</v>
      </c>
      <c r="D68" t="s">
        <v>68</v>
      </c>
    </row>
    <row r="69" spans="2:4" x14ac:dyDescent="0.3">
      <c r="B69">
        <v>1369</v>
      </c>
      <c r="C69" t="s">
        <v>103</v>
      </c>
      <c r="D69" t="s">
        <v>68</v>
      </c>
    </row>
    <row r="70" spans="2:4" x14ac:dyDescent="0.3">
      <c r="B70">
        <v>130</v>
      </c>
      <c r="C70" t="s">
        <v>104</v>
      </c>
      <c r="D70" t="s">
        <v>68</v>
      </c>
    </row>
    <row r="71" spans="2:4" x14ac:dyDescent="0.3">
      <c r="B71">
        <v>131</v>
      </c>
      <c r="C71" t="s">
        <v>105</v>
      </c>
      <c r="D71" t="s">
        <v>68</v>
      </c>
    </row>
    <row r="72" spans="2:4" x14ac:dyDescent="0.3">
      <c r="B72">
        <v>1482</v>
      </c>
      <c r="C72" t="s">
        <v>106</v>
      </c>
      <c r="D72" t="s">
        <v>68</v>
      </c>
    </row>
    <row r="73" spans="2:4" x14ac:dyDescent="0.3">
      <c r="B73">
        <v>109</v>
      </c>
      <c r="C73" t="s">
        <v>107</v>
      </c>
      <c r="D73" t="s">
        <v>68</v>
      </c>
    </row>
    <row r="74" spans="2:4" x14ac:dyDescent="0.3">
      <c r="B74">
        <v>269</v>
      </c>
      <c r="C74" t="s">
        <v>108</v>
      </c>
      <c r="D74" t="s">
        <v>68</v>
      </c>
    </row>
    <row r="75" spans="2:4" x14ac:dyDescent="0.3">
      <c r="B75">
        <v>106</v>
      </c>
      <c r="C75" t="s">
        <v>109</v>
      </c>
      <c r="D7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Precios</vt:lpstr>
      <vt:lpstr>Categoria de Clientes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Guidi</dc:creator>
  <cp:lastModifiedBy>Angel Guidi Dominguez</cp:lastModifiedBy>
  <dcterms:created xsi:type="dcterms:W3CDTF">2026-02-05T17:53:46Z</dcterms:created>
  <dcterms:modified xsi:type="dcterms:W3CDTF">2026-02-24T20:36:21Z</dcterms:modified>
</cp:coreProperties>
</file>