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FDD3\Desktop\ISO\"/>
    </mc:Choice>
  </mc:AlternateContent>
  <bookViews>
    <workbookView xWindow="0" yWindow="0" windowWidth="20490" windowHeight="9045"/>
  </bookViews>
  <sheets>
    <sheet name="LISTADO DE PRECIOS" sheetId="2" r:id="rId1"/>
    <sheet name="RANGOS DE CLIENTES " sheetId="3" r:id="rId2"/>
    <sheet name="Hoja5" sheetId="5" r:id="rId3"/>
    <sheet name="Hoja4" sheetId="4" r:id="rId4"/>
  </sheets>
  <definedNames>
    <definedName name="_xlnm._FilterDatabase" localSheetId="3" hidden="1">Hoja4!$B$1:$D$53</definedName>
    <definedName name="_xlnm._FilterDatabase" localSheetId="0" hidden="1">'LISTADO DE PRECIOS'!$A$2:$R$37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8" i="2" l="1"/>
  <c r="R17" i="2"/>
  <c r="P19" i="2"/>
  <c r="R19" i="2" s="1"/>
  <c r="H18" i="2"/>
  <c r="I18" i="2" s="1"/>
  <c r="J18" i="2"/>
  <c r="K18" i="2" s="1"/>
  <c r="L18" i="2"/>
  <c r="M18" i="2" s="1"/>
  <c r="N18" i="2"/>
  <c r="O18" i="2" s="1"/>
  <c r="H17" i="2"/>
  <c r="I17" i="2" s="1"/>
  <c r="J17" i="2"/>
  <c r="K17" i="2"/>
  <c r="L17" i="2"/>
  <c r="M17" i="2" s="1"/>
  <c r="N17" i="2"/>
  <c r="O17" i="2" s="1"/>
  <c r="R34" i="2"/>
  <c r="H34" i="2"/>
  <c r="I34" i="2" s="1"/>
  <c r="J34" i="2"/>
  <c r="K34" i="2" s="1"/>
  <c r="L34" i="2"/>
  <c r="M34" i="2" s="1"/>
  <c r="N34" i="2"/>
  <c r="O34" i="2"/>
  <c r="R9" i="2"/>
  <c r="R8" i="2"/>
  <c r="R7" i="2"/>
  <c r="H9" i="2"/>
  <c r="I9" i="2" s="1"/>
  <c r="J9" i="2"/>
  <c r="K9" i="2" s="1"/>
  <c r="L9" i="2"/>
  <c r="M9" i="2" s="1"/>
  <c r="N9" i="2"/>
  <c r="O9" i="2" s="1"/>
  <c r="H8" i="2"/>
  <c r="I8" i="2" s="1"/>
  <c r="J8" i="2"/>
  <c r="K8" i="2" s="1"/>
  <c r="L8" i="2"/>
  <c r="M8" i="2" s="1"/>
  <c r="N8" i="2"/>
  <c r="O8" i="2" s="1"/>
  <c r="H7" i="2"/>
  <c r="I7" i="2" s="1"/>
  <c r="J7" i="2"/>
  <c r="K7" i="2"/>
  <c r="L7" i="2"/>
  <c r="M7" i="2" s="1"/>
  <c r="N7" i="2"/>
  <c r="O7" i="2" s="1"/>
  <c r="R30" i="2"/>
  <c r="N30" i="2"/>
  <c r="O30" i="2" s="1"/>
  <c r="L30" i="2"/>
  <c r="M30" i="2" s="1"/>
  <c r="J30" i="2"/>
  <c r="K30" i="2" s="1"/>
  <c r="H30" i="2"/>
  <c r="I30" i="2" s="1"/>
  <c r="D3" i="4"/>
  <c r="D4" i="4"/>
  <c r="D5" i="4"/>
  <c r="D11" i="4"/>
  <c r="D7" i="4"/>
  <c r="D23" i="4"/>
  <c r="D9" i="4"/>
  <c r="D6" i="4"/>
  <c r="D8" i="4"/>
  <c r="D12" i="4"/>
  <c r="D42" i="4"/>
  <c r="D14" i="4"/>
  <c r="D15" i="4"/>
  <c r="D46" i="4"/>
  <c r="D10" i="4"/>
  <c r="D18" i="4"/>
  <c r="D19" i="4"/>
  <c r="D20" i="4"/>
  <c r="D21" i="4"/>
  <c r="D22" i="4"/>
  <c r="D31" i="4"/>
  <c r="D24" i="4"/>
  <c r="D25" i="4"/>
  <c r="D26" i="4"/>
  <c r="D27" i="4"/>
  <c r="D40" i="4"/>
  <c r="D29" i="4"/>
  <c r="D30" i="4"/>
  <c r="D52" i="4"/>
  <c r="D45" i="4"/>
  <c r="D47" i="4"/>
  <c r="D49" i="4"/>
  <c r="D51" i="4"/>
  <c r="D36" i="4"/>
  <c r="D37" i="4"/>
  <c r="D53" i="4"/>
  <c r="D39" i="4"/>
  <c r="D32" i="4"/>
  <c r="D33" i="4"/>
  <c r="D34" i="4"/>
  <c r="D43" i="4"/>
  <c r="D44" i="4"/>
  <c r="D13" i="4"/>
  <c r="D16" i="4"/>
  <c r="D28" i="4"/>
  <c r="D48" i="4"/>
  <c r="D17" i="4"/>
  <c r="D50" i="4"/>
  <c r="D35" i="4"/>
  <c r="D41" i="4"/>
  <c r="D38" i="4"/>
  <c r="D2" i="4"/>
  <c r="H3" i="2"/>
  <c r="I3" i="2" s="1"/>
  <c r="H4" i="2"/>
  <c r="I4" i="2" s="1"/>
  <c r="H5" i="2"/>
  <c r="H6" i="2"/>
  <c r="I6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1" i="2"/>
  <c r="I31" i="2" s="1"/>
  <c r="H32" i="2"/>
  <c r="I32" i="2" s="1"/>
  <c r="H33" i="2"/>
  <c r="I33" i="2" s="1"/>
  <c r="H35" i="2"/>
  <c r="I35" i="2" s="1"/>
  <c r="H36" i="2"/>
  <c r="I36" i="2" s="1"/>
  <c r="H37" i="2"/>
  <c r="I37" i="2" s="1"/>
  <c r="R37" i="2"/>
  <c r="N37" i="2"/>
  <c r="O37" i="2" s="1"/>
  <c r="L37" i="2"/>
  <c r="M37" i="2" s="1"/>
  <c r="J37" i="2"/>
  <c r="K37" i="2" s="1"/>
  <c r="R36" i="2"/>
  <c r="N36" i="2"/>
  <c r="O36" i="2" s="1"/>
  <c r="L36" i="2"/>
  <c r="M36" i="2" s="1"/>
  <c r="J36" i="2"/>
  <c r="K36" i="2" s="1"/>
  <c r="R35" i="2"/>
  <c r="L35" i="2"/>
  <c r="M35" i="2" s="1"/>
  <c r="J35" i="2"/>
  <c r="K35" i="2" s="1"/>
  <c r="R33" i="2"/>
  <c r="N33" i="2"/>
  <c r="O33" i="2" s="1"/>
  <c r="L33" i="2"/>
  <c r="M33" i="2" s="1"/>
  <c r="J33" i="2"/>
  <c r="K33" i="2" s="1"/>
  <c r="R32" i="2"/>
  <c r="N32" i="2"/>
  <c r="O32" i="2" s="1"/>
  <c r="L32" i="2"/>
  <c r="M32" i="2" s="1"/>
  <c r="J32" i="2"/>
  <c r="K32" i="2" s="1"/>
  <c r="R31" i="2"/>
  <c r="N31" i="2"/>
  <c r="O31" i="2" s="1"/>
  <c r="L31" i="2"/>
  <c r="M31" i="2" s="1"/>
  <c r="J31" i="2"/>
  <c r="K31" i="2" s="1"/>
  <c r="R29" i="2"/>
  <c r="N29" i="2"/>
  <c r="O29" i="2" s="1"/>
  <c r="L29" i="2"/>
  <c r="M29" i="2" s="1"/>
  <c r="J29" i="2"/>
  <c r="K29" i="2" s="1"/>
  <c r="R28" i="2"/>
  <c r="N28" i="2"/>
  <c r="O28" i="2" s="1"/>
  <c r="L28" i="2"/>
  <c r="M28" i="2" s="1"/>
  <c r="J28" i="2"/>
  <c r="K28" i="2" s="1"/>
  <c r="R27" i="2"/>
  <c r="N27" i="2"/>
  <c r="O27" i="2" s="1"/>
  <c r="L27" i="2"/>
  <c r="M27" i="2" s="1"/>
  <c r="J27" i="2"/>
  <c r="K27" i="2" s="1"/>
  <c r="R26" i="2"/>
  <c r="N26" i="2"/>
  <c r="O26" i="2" s="1"/>
  <c r="L26" i="2"/>
  <c r="M26" i="2" s="1"/>
  <c r="J26" i="2"/>
  <c r="K26" i="2" s="1"/>
  <c r="R25" i="2"/>
  <c r="N25" i="2"/>
  <c r="O25" i="2" s="1"/>
  <c r="L25" i="2"/>
  <c r="M25" i="2" s="1"/>
  <c r="J25" i="2"/>
  <c r="K25" i="2" s="1"/>
  <c r="R24" i="2"/>
  <c r="N24" i="2"/>
  <c r="O24" i="2" s="1"/>
  <c r="L24" i="2"/>
  <c r="M24" i="2" s="1"/>
  <c r="J24" i="2"/>
  <c r="K24" i="2" s="1"/>
  <c r="R23" i="2"/>
  <c r="N23" i="2"/>
  <c r="O23" i="2" s="1"/>
  <c r="L23" i="2"/>
  <c r="M23" i="2" s="1"/>
  <c r="J23" i="2"/>
  <c r="K23" i="2" s="1"/>
  <c r="R22" i="2"/>
  <c r="N22" i="2"/>
  <c r="O22" i="2" s="1"/>
  <c r="L22" i="2"/>
  <c r="M22" i="2" s="1"/>
  <c r="J22" i="2"/>
  <c r="K22" i="2" s="1"/>
  <c r="R21" i="2"/>
  <c r="N21" i="2"/>
  <c r="O21" i="2" s="1"/>
  <c r="L21" i="2"/>
  <c r="M21" i="2" s="1"/>
  <c r="J21" i="2"/>
  <c r="K21" i="2" s="1"/>
  <c r="R20" i="2"/>
  <c r="N20" i="2"/>
  <c r="O20" i="2" s="1"/>
  <c r="L20" i="2"/>
  <c r="M20" i="2" s="1"/>
  <c r="J20" i="2"/>
  <c r="K20" i="2" s="1"/>
  <c r="R16" i="2"/>
  <c r="N16" i="2"/>
  <c r="O16" i="2" s="1"/>
  <c r="L16" i="2"/>
  <c r="M16" i="2" s="1"/>
  <c r="J16" i="2"/>
  <c r="K16" i="2" s="1"/>
  <c r="R15" i="2"/>
  <c r="N15" i="2"/>
  <c r="O15" i="2" s="1"/>
  <c r="L15" i="2"/>
  <c r="M15" i="2" s="1"/>
  <c r="J15" i="2"/>
  <c r="K15" i="2" s="1"/>
  <c r="R14" i="2"/>
  <c r="N14" i="2"/>
  <c r="O14" i="2" s="1"/>
  <c r="L14" i="2"/>
  <c r="M14" i="2" s="1"/>
  <c r="J14" i="2"/>
  <c r="K14" i="2" s="1"/>
  <c r="R13" i="2"/>
  <c r="N13" i="2"/>
  <c r="O13" i="2" s="1"/>
  <c r="L13" i="2"/>
  <c r="M13" i="2" s="1"/>
  <c r="J13" i="2"/>
  <c r="K13" i="2" s="1"/>
  <c r="R12" i="2"/>
  <c r="N12" i="2"/>
  <c r="O12" i="2" s="1"/>
  <c r="L12" i="2"/>
  <c r="M12" i="2" s="1"/>
  <c r="J12" i="2"/>
  <c r="K12" i="2" s="1"/>
  <c r="R11" i="2"/>
  <c r="N11" i="2"/>
  <c r="O11" i="2" s="1"/>
  <c r="L11" i="2"/>
  <c r="M11" i="2" s="1"/>
  <c r="J11" i="2"/>
  <c r="K11" i="2" s="1"/>
  <c r="R10" i="2"/>
  <c r="N10" i="2"/>
  <c r="O10" i="2" s="1"/>
  <c r="L10" i="2"/>
  <c r="M10" i="2" s="1"/>
  <c r="J10" i="2"/>
  <c r="K10" i="2" s="1"/>
  <c r="R6" i="2"/>
  <c r="N6" i="2"/>
  <c r="O6" i="2" s="1"/>
  <c r="L6" i="2"/>
  <c r="M6" i="2" s="1"/>
  <c r="J6" i="2"/>
  <c r="K6" i="2" s="1"/>
  <c r="R5" i="2"/>
  <c r="N5" i="2"/>
  <c r="O5" i="2" s="1"/>
  <c r="L5" i="2"/>
  <c r="M5" i="2" s="1"/>
  <c r="J5" i="2"/>
  <c r="K5" i="2" s="1"/>
  <c r="I5" i="2"/>
  <c r="R4" i="2"/>
  <c r="N4" i="2"/>
  <c r="O4" i="2" s="1"/>
  <c r="L4" i="2"/>
  <c r="M4" i="2" s="1"/>
  <c r="J4" i="2"/>
  <c r="K4" i="2" s="1"/>
  <c r="R3" i="2"/>
  <c r="N3" i="2"/>
  <c r="O3" i="2" s="1"/>
  <c r="L3" i="2"/>
  <c r="M3" i="2" s="1"/>
  <c r="J3" i="2"/>
  <c r="K3" i="2" s="1"/>
</calcChain>
</file>

<file path=xl/sharedStrings.xml><?xml version="1.0" encoding="utf-8"?>
<sst xmlns="http://schemas.openxmlformats.org/spreadsheetml/2006/main" count="324" uniqueCount="155">
  <si>
    <t>Nombre Producto</t>
  </si>
  <si>
    <t>BOOHOO CRUNCHY QUESO 40g (12 TIRAS/CAJA)</t>
  </si>
  <si>
    <t>BOOHOO PUFF PICANTE 30g (6 TIRAS/jABA)</t>
  </si>
  <si>
    <t>ESCUELIN caja</t>
  </si>
  <si>
    <t>GALLETA CHIPS DE CHOCOLATE EN TIRAS (10 TIRAS X 10u 35g/CAJA)</t>
  </si>
  <si>
    <t>MEGABLON 14g BOLSA</t>
  </si>
  <si>
    <t>MIX NAX 120g (20 bol/jba)</t>
  </si>
  <si>
    <t>MIX NAX 45G</t>
  </si>
  <si>
    <t>NACHONAX PICANTE 200g</t>
  </si>
  <si>
    <t>NACHONAX PICANTE 45g tira</t>
  </si>
  <si>
    <t>NACHONAX QUESO 200g</t>
  </si>
  <si>
    <t>NACHONAX QUESO 45g tira</t>
  </si>
  <si>
    <t>NACHONAX SALADO 200g</t>
  </si>
  <si>
    <t>NACHONAX SALADO 45g tira</t>
  </si>
  <si>
    <t>PAPANAX CHURRASCO 110g (30 BOLSAS/CAJA)</t>
  </si>
  <si>
    <t>PAPANAX CHURRASCO 20g (12 TIRAS/CAJA)</t>
  </si>
  <si>
    <t>PAPANAX EXTRA FUEGO 110g</t>
  </si>
  <si>
    <t>PAPANAX EXTRA FUEGO 20g</t>
  </si>
  <si>
    <t>PAPANAX PICANTE 20g</t>
  </si>
  <si>
    <t>PAPANAX SALADO 110g</t>
  </si>
  <si>
    <t>PAPANAX SALADO 20g</t>
  </si>
  <si>
    <t>PIPANAX 11x26x55g</t>
  </si>
  <si>
    <t>PIPANAX 15X30X12g</t>
  </si>
  <si>
    <t>PIPPOX MANTEQUILA 20g (21 BOLSAS/PAQUETE)</t>
  </si>
  <si>
    <t>TOCINAX 35g EN TIRAS</t>
  </si>
  <si>
    <t xml:space="preserve">TOCINAX 120g </t>
  </si>
  <si>
    <t>PROVINCIA 3%</t>
  </si>
  <si>
    <t>PRECIO DE VENTA PROVINCIAS</t>
  </si>
  <si>
    <t>DISTRIBUIDOS A 12%</t>
  </si>
  <si>
    <t>PRECIO DE VENTA DISTRIBUIDORES A</t>
  </si>
  <si>
    <t>DISTRIBUIDORES B 8%</t>
  </si>
  <si>
    <t>PRECIO DE VENTA DISTRIBUIDORES B</t>
  </si>
  <si>
    <t>DIVECO 25%</t>
  </si>
  <si>
    <t>PRECIO DE VENTA DIVECO</t>
  </si>
  <si>
    <t>COD UPON</t>
  </si>
  <si>
    <t>PRESENTACION SUPERMERCADO</t>
  </si>
  <si>
    <t>PRECIO UNITARIO SUPERMERCADO</t>
  </si>
  <si>
    <t>POLITICA: LOS PRECIOS DEBEN SER CON UN DECIMAL PARA REDONDEO</t>
  </si>
  <si>
    <t xml:space="preserve">CATEGORIA </t>
  </si>
  <si>
    <t>Propuesta recomendada: 5 rangos de descuento por total de compra</t>
  </si>
  <si>
    <t>DESCUENTOS</t>
  </si>
  <si>
    <t>Rango</t>
  </si>
  <si>
    <t>Total de compra (Bs)</t>
  </si>
  <si>
    <t>Justificación</t>
  </si>
  <si>
    <t>PRODUCTOS PROMOCIONALES</t>
  </si>
  <si>
    <t>Hasta 4.999</t>
  </si>
  <si>
    <t>Clientes ocasionales o pequeños, cuidas margen</t>
  </si>
  <si>
    <t>5.000 – 9.999</t>
  </si>
  <si>
    <t>10.000 – 24.999</t>
  </si>
  <si>
    <t>Clientes recurrentes y ya fidelizados</t>
  </si>
  <si>
    <t>25.000 – 49.999</t>
  </si>
  <si>
    <t>Compradores fuertes, incentivo claro</t>
  </si>
  <si>
    <t>Más de 50.000</t>
  </si>
  <si>
    <t>Clientes clave / mayoristas reales</t>
  </si>
  <si>
    <t xml:space="preserve">Gran mayoría de tus clientes </t>
  </si>
  <si>
    <t>PRECIO VENTA MERCADOS</t>
  </si>
  <si>
    <t>PRECIO VENTA SUPERMERCADO</t>
  </si>
  <si>
    <t>PRESENTACIONES AL MOMENTO DEL REGISTRO DE LA VENTA PARA SUPERMERCADOS</t>
  </si>
  <si>
    <t>CAJA</t>
  </si>
  <si>
    <t>TIRA</t>
  </si>
  <si>
    <t>UNIDAD</t>
  </si>
  <si>
    <t>JABA</t>
  </si>
  <si>
    <t>SOLAMENTE EN EL CASO DE SUPERMECADO SE PODRA ELIGIR UNA UNIDAD DE MEDIDA SECUNDARIA</t>
  </si>
  <si>
    <t>BOLSA</t>
  </si>
  <si>
    <t>UND</t>
  </si>
  <si>
    <t>PAQ</t>
  </si>
  <si>
    <t>PRESENTACION 1</t>
  </si>
  <si>
    <t>PRESENTACION 2</t>
  </si>
  <si>
    <t>LA PRESENTACION 2 SOLO ES PARA VENTAS DE SUPERMERCADO</t>
  </si>
  <si>
    <t>PTFR01001</t>
  </si>
  <si>
    <t>PTMA01002</t>
  </si>
  <si>
    <t>PTEX01001</t>
  </si>
  <si>
    <t>MAESTRO QUESO 26g</t>
  </si>
  <si>
    <t>PTEX01007</t>
  </si>
  <si>
    <t>PTEX01008</t>
  </si>
  <si>
    <t>BOOHOO QUESO 35g (UNIDADES SUELTAS)</t>
  </si>
  <si>
    <t>PTEX01005</t>
  </si>
  <si>
    <t>PTEX02002</t>
  </si>
  <si>
    <t>BOOHOO JAMON 35g</t>
  </si>
  <si>
    <t>PTFR03002</t>
  </si>
  <si>
    <t>PTEX01002</t>
  </si>
  <si>
    <t>MAESTRO FUEGO 26g</t>
  </si>
  <si>
    <t>PTEX01003</t>
  </si>
  <si>
    <t>MAESTRO MANI 26g</t>
  </si>
  <si>
    <t>PTEX02001</t>
  </si>
  <si>
    <t>BOOHOO QUESO 35g</t>
  </si>
  <si>
    <t>PTFR0304</t>
  </si>
  <si>
    <t>PACK FERIAL SURTIDO BOLSA</t>
  </si>
  <si>
    <t>PTEX01009</t>
  </si>
  <si>
    <t>PTEX01004</t>
  </si>
  <si>
    <t>BOOHOO PUFF QUESO 30g (6 TIRAS/jABA)</t>
  </si>
  <si>
    <t>PTMA01003</t>
  </si>
  <si>
    <t>GALLETA QUINOA CHIPS DE CHCOLATE BOLSITA 30g</t>
  </si>
  <si>
    <t>PTEX01006</t>
  </si>
  <si>
    <t>PIPPOX MANTEQUILLA 20g (24 BOLSAS/PAQUETE)</t>
  </si>
  <si>
    <t>PTFR01002</t>
  </si>
  <si>
    <t>PTFR01003</t>
  </si>
  <si>
    <t>PTFR01004</t>
  </si>
  <si>
    <t>PTFR01005</t>
  </si>
  <si>
    <t>PTFR01006</t>
  </si>
  <si>
    <t>PTFR01007</t>
  </si>
  <si>
    <t>NACHONAX SALADO 600g</t>
  </si>
  <si>
    <t>PTFR02001</t>
  </si>
  <si>
    <t>PTFR02002</t>
  </si>
  <si>
    <t>PTFR02003</t>
  </si>
  <si>
    <t>PTFR02004</t>
  </si>
  <si>
    <t>PTFR02005</t>
  </si>
  <si>
    <t>PAPANAX PICANTE 110g</t>
  </si>
  <si>
    <t>PTFR02006</t>
  </si>
  <si>
    <t>PTFR03001</t>
  </si>
  <si>
    <t>PTMA03001</t>
  </si>
  <si>
    <t>ALFAJOR ESCUELIN DESAYUNO ESCOLAR</t>
  </si>
  <si>
    <t>PTMA01001</t>
  </si>
  <si>
    <t>PTMA02001</t>
  </si>
  <si>
    <t>CUÑAPES 100g</t>
  </si>
  <si>
    <t>PTMA02002</t>
  </si>
  <si>
    <t>GALLETA SURTIDA NAVIDEÑA 100g</t>
  </si>
  <si>
    <t>PTMA02003</t>
  </si>
  <si>
    <t>GALLETA SURTIDA NAVIDEÑA 400g</t>
  </si>
  <si>
    <t>PTTO01001</t>
  </si>
  <si>
    <t>PTTO01002</t>
  </si>
  <si>
    <t>PTTO01003</t>
  </si>
  <si>
    <t>PIPANAX PICANTE 12X24X55g</t>
  </si>
  <si>
    <t>PTFR02008</t>
  </si>
  <si>
    <t>PTFR01008</t>
  </si>
  <si>
    <t>NACHONAX SALADO 40g TIRAS CON BANDEO</t>
  </si>
  <si>
    <t>PTFR01009</t>
  </si>
  <si>
    <t>NACHONAX PICANTE 40g TIRA CON BANDEO</t>
  </si>
  <si>
    <t>PTFR01010</t>
  </si>
  <si>
    <t>NACHONAX QUESO 40g TIRAS CON BANDEO</t>
  </si>
  <si>
    <t>PTMA01004</t>
  </si>
  <si>
    <t>PTFR03003</t>
  </si>
  <si>
    <t>PTEX01012</t>
  </si>
  <si>
    <t>BOOHOO PUFF QUESO 120g (20 UNIDADES/JABA)</t>
  </si>
  <si>
    <t>PTEX01013</t>
  </si>
  <si>
    <t>BOOHOO PUFF PICANTE 120g (20 UNIDADES/JABA)</t>
  </si>
  <si>
    <t>PTEX02003</t>
  </si>
  <si>
    <t>BOOHOO NAX QUESO 150g (20u/JBA)</t>
  </si>
  <si>
    <t>PTFR02007</t>
  </si>
  <si>
    <t>PTEX01014</t>
  </si>
  <si>
    <t>BOOHOO PUFF QUESO 1/2 BOLSA 10g (Degustación)</t>
  </si>
  <si>
    <t>PTFR03004</t>
  </si>
  <si>
    <t>PTFR01011</t>
  </si>
  <si>
    <t xml:space="preserve">NACHONAX LIMÓN 40g TIRAS </t>
  </si>
  <si>
    <t>PTFR03005</t>
  </si>
  <si>
    <t>PACK SUPERMERCADO (Surtido Nacho, Papa, Boohoo: 6u)</t>
  </si>
  <si>
    <t>PTFR01014</t>
  </si>
  <si>
    <t>NACHONAX LIMÓN 200g (20 BOL/CJA)</t>
  </si>
  <si>
    <t>NACHONAX LIMÓN 40g TIRAS</t>
  </si>
  <si>
    <t>ESCUELIN 12X60X25g JABA</t>
  </si>
  <si>
    <t>NOTA: LOS RANGOS SOLO DEBEN CONSIDERARDOS PARA:</t>
  </si>
  <si>
    <t>PROMOCIONAL</t>
  </si>
  <si>
    <t>REGULAR</t>
  </si>
  <si>
    <t>PRODUCTOS REGULAR</t>
  </si>
  <si>
    <t>% TIPO DE PROCION POR EL TOTAL VENDIDO DEL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</si>
</sst>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1" xfId="1" applyNumberFormat="1" applyFont="1" applyBorder="1"/>
    <xf numFmtId="9" fontId="0" fillId="0" borderId="1" xfId="0" applyNumberFormat="1" applyBorder="1"/>
    <xf numFmtId="4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4" fontId="5" fillId="0" borderId="1" xfId="1" applyNumberFormat="1" applyFont="1" applyBorder="1"/>
    <xf numFmtId="9" fontId="5" fillId="0" borderId="1" xfId="0" applyNumberFormat="1" applyFont="1" applyBorder="1"/>
    <xf numFmtId="0" fontId="0" fillId="4" borderId="1" xfId="0" applyFill="1" applyBorder="1" applyAlignment="1">
      <alignment wrapText="1"/>
    </xf>
    <xf numFmtId="9" fontId="0" fillId="4" borderId="1" xfId="0" applyNumberFormat="1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4" fontId="0" fillId="6" borderId="1" xfId="0" applyNumberFormat="1" applyFill="1" applyBorder="1"/>
    <xf numFmtId="9" fontId="0" fillId="0" borderId="0" xfId="0" applyNumberFormat="1"/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9" borderId="1" xfId="0" applyFill="1" applyBorder="1" applyAlignment="1">
      <alignment wrapText="1"/>
    </xf>
    <xf numFmtId="0" fontId="0" fillId="6" borderId="1" xfId="0" applyFill="1" applyBorder="1"/>
    <xf numFmtId="0" fontId="2" fillId="0" borderId="1" xfId="0" applyFont="1" applyBorder="1" applyAlignment="1">
      <alignment wrapText="1"/>
    </xf>
    <xf numFmtId="9" fontId="2" fillId="0" borderId="1" xfId="0" applyNumberFormat="1" applyFont="1" applyBorder="1"/>
    <xf numFmtId="164" fontId="0" fillId="0" borderId="1" xfId="0" applyNumberFormat="1" applyBorder="1"/>
    <xf numFmtId="0" fontId="2" fillId="0" borderId="0" xfId="0" applyFont="1"/>
    <xf numFmtId="4" fontId="6" fillId="0" borderId="1" xfId="1" applyNumberFormat="1" applyFont="1" applyBorder="1"/>
    <xf numFmtId="0" fontId="0" fillId="0" borderId="2" xfId="0" applyBorder="1" applyAlignment="1">
      <alignment horizont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8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4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right" vertical="center" wrapText="1"/>
    </xf>
    <xf numFmtId="0" fontId="3" fillId="12" borderId="0" xfId="0" applyFont="1" applyFill="1" applyAlignment="1">
      <alignment vertical="center" wrapText="1"/>
    </xf>
    <xf numFmtId="0" fontId="3" fillId="1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right" vertical="center" wrapText="1"/>
    </xf>
    <xf numFmtId="0" fontId="3" fillId="13" borderId="0" xfId="0" applyFont="1" applyFill="1" applyAlignment="1">
      <alignment vertical="center" wrapText="1"/>
    </xf>
    <xf numFmtId="0" fontId="3" fillId="13" borderId="0" xfId="0" applyFont="1" applyFill="1" applyAlignment="1">
      <alignment horizontal="left" vertical="center" wrapText="1"/>
    </xf>
    <xf numFmtId="9" fontId="0" fillId="0" borderId="0" xfId="0" applyNumberFormat="1" applyFill="1"/>
    <xf numFmtId="0" fontId="3" fillId="6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left" vertical="center" wrapText="1"/>
    </xf>
    <xf numFmtId="10" fontId="0" fillId="0" borderId="0" xfId="0" applyNumberFormat="1" applyFill="1"/>
    <xf numFmtId="0" fontId="9" fillId="11" borderId="0" xfId="0" applyFont="1" applyFill="1" applyAlignment="1">
      <alignment wrapText="1"/>
    </xf>
    <xf numFmtId="0" fontId="0" fillId="14" borderId="0" xfId="0" applyFill="1"/>
    <xf numFmtId="164" fontId="0" fillId="14" borderId="0" xfId="0" applyNumberFormat="1" applyFill="1"/>
    <xf numFmtId="0" fontId="6" fillId="14" borderId="0" xfId="0" applyFont="1" applyFill="1"/>
    <xf numFmtId="0" fontId="0" fillId="0" borderId="0" xfId="0" applyFill="1" applyBorder="1"/>
    <xf numFmtId="0" fontId="0" fillId="15" borderId="1" xfId="0" applyFill="1" applyBorder="1" applyAlignment="1">
      <alignment vertical="center" wrapText="1"/>
    </xf>
    <xf numFmtId="0" fontId="9" fillId="11" borderId="0" xfId="0" applyFont="1" applyFill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tabSelected="1" zoomScale="70" zoomScaleNormal="70" workbookViewId="0">
      <pane xSplit="6" ySplit="2" topLeftCell="G3" activePane="bottomRight" state="frozen"/>
      <selection pane="topRight" activeCell="C1" sqref="C1"/>
      <selection pane="bottomLeft" activeCell="A2" sqref="A2"/>
      <selection pane="bottomRight" activeCell="I19" sqref="I19"/>
    </sheetView>
  </sheetViews>
  <sheetFormatPr baseColWidth="10" defaultRowHeight="15" x14ac:dyDescent="0.25"/>
  <cols>
    <col min="2" max="2" width="52.7109375" customWidth="1"/>
    <col min="3" max="3" width="24.140625" hidden="1" customWidth="1"/>
    <col min="4" max="4" width="17.42578125" customWidth="1"/>
    <col min="5" max="5" width="16" customWidth="1"/>
    <col min="6" max="6" width="14" customWidth="1"/>
    <col min="7" max="7" width="17" customWidth="1"/>
    <col min="8" max="8" width="11.42578125" customWidth="1"/>
    <col min="9" max="9" width="14.28515625" customWidth="1"/>
    <col min="10" max="10" width="14.85546875" customWidth="1"/>
    <col min="11" max="11" width="11.42578125" customWidth="1"/>
    <col min="12" max="12" width="15.42578125" customWidth="1"/>
    <col min="13" max="15" width="11.42578125" customWidth="1"/>
    <col min="16" max="16" width="16.85546875" customWidth="1"/>
    <col min="17" max="17" width="16.7109375" customWidth="1"/>
    <col min="18" max="18" width="17" customWidth="1"/>
  </cols>
  <sheetData>
    <row r="1" spans="1:18" x14ac:dyDescent="0.25">
      <c r="G1" s="32" t="s">
        <v>38</v>
      </c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63.75" x14ac:dyDescent="0.25">
      <c r="A2" s="24" t="s">
        <v>34</v>
      </c>
      <c r="B2" s="1" t="s">
        <v>0</v>
      </c>
      <c r="C2" s="1"/>
      <c r="D2" s="1" t="s">
        <v>66</v>
      </c>
      <c r="E2" s="1" t="s">
        <v>67</v>
      </c>
      <c r="F2" s="2" t="s">
        <v>55</v>
      </c>
      <c r="G2" s="3" t="s">
        <v>154</v>
      </c>
      <c r="H2" s="20" t="s">
        <v>26</v>
      </c>
      <c r="I2" s="20" t="s">
        <v>27</v>
      </c>
      <c r="J2" s="25" t="s">
        <v>28</v>
      </c>
      <c r="K2" s="21" t="s">
        <v>29</v>
      </c>
      <c r="L2" s="22" t="s">
        <v>30</v>
      </c>
      <c r="M2" s="22" t="s">
        <v>31</v>
      </c>
      <c r="N2" s="23" t="s">
        <v>32</v>
      </c>
      <c r="O2" s="23" t="s">
        <v>33</v>
      </c>
      <c r="P2" s="61" t="s">
        <v>56</v>
      </c>
      <c r="Q2" s="61" t="s">
        <v>35</v>
      </c>
      <c r="R2" s="61" t="s">
        <v>36</v>
      </c>
    </row>
    <row r="3" spans="1:18" x14ac:dyDescent="0.25">
      <c r="A3" t="s">
        <v>73</v>
      </c>
      <c r="B3" s="4" t="s">
        <v>1</v>
      </c>
      <c r="C3" s="4"/>
      <c r="D3" s="4" t="s">
        <v>58</v>
      </c>
      <c r="E3" s="4" t="s">
        <v>59</v>
      </c>
      <c r="F3" s="6">
        <v>264</v>
      </c>
      <c r="G3" s="7" t="s">
        <v>151</v>
      </c>
      <c r="H3" s="5">
        <f>+F3*3%</f>
        <v>7.92</v>
      </c>
      <c r="I3" s="29">
        <f>+F3+H3</f>
        <v>271.92</v>
      </c>
      <c r="J3" s="9">
        <f>+F3*12%</f>
        <v>31.68</v>
      </c>
      <c r="K3" s="5">
        <f>+F3-J3</f>
        <v>232.32</v>
      </c>
      <c r="L3" s="9">
        <f>+F3*8%</f>
        <v>21.12</v>
      </c>
      <c r="M3" s="5">
        <f>+F3-L3</f>
        <v>242.88</v>
      </c>
      <c r="N3" s="9">
        <f>+F3*25%</f>
        <v>66</v>
      </c>
      <c r="O3" s="5">
        <f>+F3-N3</f>
        <v>198</v>
      </c>
      <c r="P3" s="6">
        <v>264</v>
      </c>
      <c r="Q3" s="9">
        <v>12</v>
      </c>
      <c r="R3">
        <f>+F3/Q3</f>
        <v>22</v>
      </c>
    </row>
    <row r="4" spans="1:18" x14ac:dyDescent="0.25">
      <c r="A4" t="s">
        <v>76</v>
      </c>
      <c r="B4" s="10" t="s">
        <v>2</v>
      </c>
      <c r="C4" s="10"/>
      <c r="D4" s="10" t="s">
        <v>61</v>
      </c>
      <c r="E4" s="10" t="s">
        <v>59</v>
      </c>
      <c r="F4" s="6">
        <v>91.8</v>
      </c>
      <c r="G4" s="7" t="s">
        <v>151</v>
      </c>
      <c r="H4" s="5">
        <f>+F4*3%</f>
        <v>2.754</v>
      </c>
      <c r="I4" s="29">
        <f>+F4+H4</f>
        <v>94.554000000000002</v>
      </c>
      <c r="J4" s="9">
        <f>+F4*12%</f>
        <v>11.016</v>
      </c>
      <c r="K4" s="5">
        <f>+F4-J4</f>
        <v>80.783999999999992</v>
      </c>
      <c r="L4" s="9">
        <f>+F4*8%</f>
        <v>7.3440000000000003</v>
      </c>
      <c r="M4" s="5">
        <f>+F4-L4</f>
        <v>84.456000000000003</v>
      </c>
      <c r="N4" s="9">
        <f>+F4*25%</f>
        <v>22.95</v>
      </c>
      <c r="O4" s="5">
        <f>+F4-N4</f>
        <v>68.849999999999994</v>
      </c>
      <c r="P4" s="6">
        <v>91.8</v>
      </c>
      <c r="Q4" s="9">
        <v>6</v>
      </c>
      <c r="R4">
        <f>+F4/Q4</f>
        <v>15.299999999999999</v>
      </c>
    </row>
    <row r="5" spans="1:18" x14ac:dyDescent="0.25">
      <c r="A5" t="s">
        <v>89</v>
      </c>
      <c r="B5" s="4" t="s">
        <v>90</v>
      </c>
      <c r="C5" s="4"/>
      <c r="D5" s="4" t="s">
        <v>61</v>
      </c>
      <c r="E5" s="4" t="s">
        <v>59</v>
      </c>
      <c r="F5" s="6">
        <v>91.8</v>
      </c>
      <c r="G5" s="7" t="s">
        <v>151</v>
      </c>
      <c r="H5" s="5">
        <f>+F5*3%</f>
        <v>2.754</v>
      </c>
      <c r="I5" s="29">
        <f>+F5+H5</f>
        <v>94.554000000000002</v>
      </c>
      <c r="J5" s="9">
        <f>+F5*12%</f>
        <v>11.016</v>
      </c>
      <c r="K5" s="5">
        <f>+F5-J5</f>
        <v>80.783999999999992</v>
      </c>
      <c r="L5" s="9">
        <f>+F5*8%</f>
        <v>7.3440000000000003</v>
      </c>
      <c r="M5" s="5">
        <f>+F5-L5</f>
        <v>84.456000000000003</v>
      </c>
      <c r="N5" s="9">
        <f>+F5*25%</f>
        <v>22.95</v>
      </c>
      <c r="O5" s="5">
        <f>+F5-N5</f>
        <v>68.849999999999994</v>
      </c>
      <c r="P5" s="6">
        <v>91.8</v>
      </c>
      <c r="Q5" s="9">
        <v>6</v>
      </c>
      <c r="R5">
        <f>+F5/Q5</f>
        <v>15.299999999999999</v>
      </c>
    </row>
    <row r="6" spans="1:18" x14ac:dyDescent="0.25">
      <c r="A6" t="s">
        <v>84</v>
      </c>
      <c r="B6" s="4" t="s">
        <v>85</v>
      </c>
      <c r="C6" s="4"/>
      <c r="D6" s="4" t="s">
        <v>61</v>
      </c>
      <c r="E6" s="4" t="s">
        <v>59</v>
      </c>
      <c r="F6" s="6">
        <v>122.4</v>
      </c>
      <c r="G6" s="7" t="s">
        <v>151</v>
      </c>
      <c r="H6" s="5">
        <f>+F6*3%</f>
        <v>3.6720000000000002</v>
      </c>
      <c r="I6" s="29">
        <f>+F6+H6</f>
        <v>126.072</v>
      </c>
      <c r="J6" s="9">
        <f>+F6*12%</f>
        <v>14.688000000000001</v>
      </c>
      <c r="K6" s="5">
        <f>+F6-J6</f>
        <v>107.712</v>
      </c>
      <c r="L6" s="9">
        <f>+F6*8%</f>
        <v>9.7919999999999998</v>
      </c>
      <c r="M6" s="5">
        <f>+F6-L6</f>
        <v>112.608</v>
      </c>
      <c r="N6" s="9">
        <f>+F6*25%</f>
        <v>30.6</v>
      </c>
      <c r="O6" s="5">
        <f>+F6-N6</f>
        <v>91.800000000000011</v>
      </c>
      <c r="P6" s="6">
        <v>122.4</v>
      </c>
      <c r="Q6" s="9">
        <v>8</v>
      </c>
      <c r="R6">
        <f>+F6/Q6</f>
        <v>15.3</v>
      </c>
    </row>
    <row r="7" spans="1:18" x14ac:dyDescent="0.25">
      <c r="A7" t="s">
        <v>132</v>
      </c>
      <c r="B7" t="s">
        <v>133</v>
      </c>
      <c r="C7" s="4"/>
      <c r="D7" s="4" t="s">
        <v>61</v>
      </c>
      <c r="E7" s="4" t="s">
        <v>64</v>
      </c>
      <c r="F7" s="6">
        <v>128</v>
      </c>
      <c r="G7" s="7" t="s">
        <v>151</v>
      </c>
      <c r="H7" s="5">
        <f>+F7*3%</f>
        <v>3.84</v>
      </c>
      <c r="I7" s="29">
        <f>+F7+H7</f>
        <v>131.84</v>
      </c>
      <c r="J7" s="9">
        <f>+F7*12%</f>
        <v>15.36</v>
      </c>
      <c r="K7" s="5">
        <f>+F7-J7</f>
        <v>112.64</v>
      </c>
      <c r="L7" s="9">
        <f>+F7*8%</f>
        <v>10.24</v>
      </c>
      <c r="M7" s="5">
        <f>+F7-L7</f>
        <v>117.76</v>
      </c>
      <c r="N7" s="9">
        <f>+F7*25%</f>
        <v>32</v>
      </c>
      <c r="O7" s="5">
        <f>+F7-N7</f>
        <v>96</v>
      </c>
      <c r="P7" s="6">
        <v>128</v>
      </c>
      <c r="Q7" s="9">
        <v>20</v>
      </c>
      <c r="R7" s="60">
        <f>+F7/Q7</f>
        <v>6.4</v>
      </c>
    </row>
    <row r="8" spans="1:18" x14ac:dyDescent="0.25">
      <c r="A8" t="s">
        <v>134</v>
      </c>
      <c r="B8" t="s">
        <v>135</v>
      </c>
      <c r="C8" s="4"/>
      <c r="D8" s="4" t="s">
        <v>61</v>
      </c>
      <c r="E8" s="4" t="s">
        <v>64</v>
      </c>
      <c r="F8" s="6">
        <v>128</v>
      </c>
      <c r="G8" s="7" t="s">
        <v>151</v>
      </c>
      <c r="H8" s="5">
        <f>+F8*3%</f>
        <v>3.84</v>
      </c>
      <c r="I8" s="29">
        <f>+F8+H8</f>
        <v>131.84</v>
      </c>
      <c r="J8" s="9">
        <f>+F8*12%</f>
        <v>15.36</v>
      </c>
      <c r="K8" s="5">
        <f>+F8-J8</f>
        <v>112.64</v>
      </c>
      <c r="L8" s="9">
        <f>+F8*8%</f>
        <v>10.24</v>
      </c>
      <c r="M8" s="5">
        <f>+F8-L8</f>
        <v>117.76</v>
      </c>
      <c r="N8" s="9">
        <f>+F8*25%</f>
        <v>32</v>
      </c>
      <c r="O8" s="5">
        <f>+F8-N8</f>
        <v>96</v>
      </c>
      <c r="P8" s="6">
        <v>128</v>
      </c>
      <c r="Q8" s="9">
        <v>20</v>
      </c>
      <c r="R8" s="60">
        <f>+F8/Q8</f>
        <v>6.4</v>
      </c>
    </row>
    <row r="9" spans="1:18" x14ac:dyDescent="0.25">
      <c r="A9" t="s">
        <v>136</v>
      </c>
      <c r="B9" t="s">
        <v>137</v>
      </c>
      <c r="C9" s="4"/>
      <c r="D9" s="4" t="s">
        <v>61</v>
      </c>
      <c r="E9" s="4" t="s">
        <v>64</v>
      </c>
      <c r="F9" s="6">
        <v>128</v>
      </c>
      <c r="G9" s="7" t="s">
        <v>151</v>
      </c>
      <c r="H9" s="5">
        <f>+F9*3%</f>
        <v>3.84</v>
      </c>
      <c r="I9" s="29">
        <f>+F9+H9</f>
        <v>131.84</v>
      </c>
      <c r="J9" s="9">
        <f>+F9*12%</f>
        <v>15.36</v>
      </c>
      <c r="K9" s="5">
        <f>+F9-J9</f>
        <v>112.64</v>
      </c>
      <c r="L9" s="9">
        <f>+F9*8%</f>
        <v>10.24</v>
      </c>
      <c r="M9" s="5">
        <f>+F9-L9</f>
        <v>117.76</v>
      </c>
      <c r="N9" s="9">
        <f>+F9*25%</f>
        <v>32</v>
      </c>
      <c r="O9" s="5">
        <f>+F9-N9</f>
        <v>96</v>
      </c>
      <c r="P9" s="6">
        <v>128</v>
      </c>
      <c r="Q9" s="9">
        <v>20</v>
      </c>
      <c r="R9" s="60">
        <f>+F9/Q9</f>
        <v>6.4</v>
      </c>
    </row>
    <row r="10" spans="1:18" x14ac:dyDescent="0.25">
      <c r="A10" t="s">
        <v>112</v>
      </c>
      <c r="B10" s="11" t="s">
        <v>149</v>
      </c>
      <c r="C10" s="11"/>
      <c r="D10" s="11" t="s">
        <v>61</v>
      </c>
      <c r="E10" s="11" t="s">
        <v>58</v>
      </c>
      <c r="F10" s="12">
        <v>462</v>
      </c>
      <c r="G10" s="13" t="s">
        <v>152</v>
      </c>
      <c r="H10" s="5">
        <f>+F10*3%</f>
        <v>13.86</v>
      </c>
      <c r="I10" s="29">
        <f>+F10+H10</f>
        <v>475.86</v>
      </c>
      <c r="J10" s="9">
        <f>+F10*12%</f>
        <v>55.44</v>
      </c>
      <c r="K10" s="5">
        <f>+F10-J10</f>
        <v>406.56</v>
      </c>
      <c r="L10" s="9">
        <f>+F10*8%</f>
        <v>36.96</v>
      </c>
      <c r="M10" s="5">
        <f>+F10-L10</f>
        <v>425.04</v>
      </c>
      <c r="N10" s="9">
        <f>+F10*25%</f>
        <v>115.5</v>
      </c>
      <c r="O10" s="5">
        <f>+F10-N10</f>
        <v>346.5</v>
      </c>
      <c r="P10" s="12">
        <v>462</v>
      </c>
      <c r="Q10" s="9">
        <v>12</v>
      </c>
      <c r="R10">
        <f>+F10/Q10</f>
        <v>38.5</v>
      </c>
    </row>
    <row r="11" spans="1:18" ht="30" x14ac:dyDescent="0.25">
      <c r="A11" t="s">
        <v>130</v>
      </c>
      <c r="B11" s="10" t="s">
        <v>4</v>
      </c>
      <c r="C11" s="10"/>
      <c r="D11" s="10" t="s">
        <v>58</v>
      </c>
      <c r="E11" s="10" t="s">
        <v>59</v>
      </c>
      <c r="F11" s="6">
        <v>155</v>
      </c>
      <c r="G11" s="7" t="s">
        <v>151</v>
      </c>
      <c r="H11" s="5">
        <f>+F11*3%</f>
        <v>4.6499999999999995</v>
      </c>
      <c r="I11" s="29">
        <f>+F11+H11</f>
        <v>159.65</v>
      </c>
      <c r="J11" s="9">
        <f>+F11*12%</f>
        <v>18.599999999999998</v>
      </c>
      <c r="K11" s="5">
        <f>+F11-J11</f>
        <v>136.4</v>
      </c>
      <c r="L11" s="9">
        <f>+F11*8%</f>
        <v>12.4</v>
      </c>
      <c r="M11" s="5">
        <f>+F11-L11</f>
        <v>142.6</v>
      </c>
      <c r="N11" s="9">
        <f>+F11*25%</f>
        <v>38.75</v>
      </c>
      <c r="O11" s="5">
        <f>+F11-N11</f>
        <v>116.25</v>
      </c>
      <c r="P11" s="6">
        <v>155</v>
      </c>
      <c r="Q11" s="9">
        <v>10</v>
      </c>
      <c r="R11">
        <f>+F11/Q11</f>
        <v>15.5</v>
      </c>
    </row>
    <row r="12" spans="1:18" x14ac:dyDescent="0.25">
      <c r="A12" t="s">
        <v>70</v>
      </c>
      <c r="B12" s="10" t="s">
        <v>5</v>
      </c>
      <c r="C12" s="10"/>
      <c r="D12" s="10" t="s">
        <v>58</v>
      </c>
      <c r="E12" s="10" t="s">
        <v>63</v>
      </c>
      <c r="F12" s="6">
        <v>240</v>
      </c>
      <c r="G12" s="7" t="s">
        <v>152</v>
      </c>
      <c r="H12" s="5">
        <f>+F12*3%</f>
        <v>7.1999999999999993</v>
      </c>
      <c r="I12" s="29">
        <f>+F12+H12</f>
        <v>247.2</v>
      </c>
      <c r="J12" s="9">
        <f>+F12*12%</f>
        <v>28.799999999999997</v>
      </c>
      <c r="K12" s="5">
        <f>+F12-J12</f>
        <v>211.2</v>
      </c>
      <c r="L12" s="9">
        <f>+F12*8%</f>
        <v>19.2</v>
      </c>
      <c r="M12" s="5">
        <f>+F12-L12</f>
        <v>220.8</v>
      </c>
      <c r="N12" s="9">
        <f>+F12*25%</f>
        <v>60</v>
      </c>
      <c r="O12" s="5">
        <f>+F12-N12</f>
        <v>180</v>
      </c>
      <c r="P12" s="6">
        <v>240</v>
      </c>
      <c r="Q12" s="9">
        <v>16</v>
      </c>
      <c r="R12">
        <f>+F12/Q12</f>
        <v>15</v>
      </c>
    </row>
    <row r="13" spans="1:18" x14ac:dyDescent="0.25">
      <c r="A13" t="s">
        <v>141</v>
      </c>
      <c r="B13" s="10" t="s">
        <v>6</v>
      </c>
      <c r="C13" s="10"/>
      <c r="D13" s="10" t="s">
        <v>58</v>
      </c>
      <c r="E13" s="10" t="s">
        <v>64</v>
      </c>
      <c r="F13" s="6">
        <v>270</v>
      </c>
      <c r="G13" s="7" t="s">
        <v>151</v>
      </c>
      <c r="H13" s="5">
        <f>+F13*3%</f>
        <v>8.1</v>
      </c>
      <c r="I13" s="29">
        <f>+F13+H13</f>
        <v>278.10000000000002</v>
      </c>
      <c r="J13" s="9">
        <f>+F13*12%</f>
        <v>32.4</v>
      </c>
      <c r="K13" s="5">
        <f>+F13-J13</f>
        <v>237.6</v>
      </c>
      <c r="L13" s="9">
        <f>+F13*8%</f>
        <v>21.6</v>
      </c>
      <c r="M13" s="5">
        <f>+F13-L13</f>
        <v>248.4</v>
      </c>
      <c r="N13" s="9">
        <f>+F13*25%</f>
        <v>67.5</v>
      </c>
      <c r="O13" s="5">
        <f>+F13-N13</f>
        <v>202.5</v>
      </c>
      <c r="P13" s="6">
        <v>270</v>
      </c>
      <c r="Q13" s="9">
        <v>20</v>
      </c>
      <c r="R13">
        <f>+F13/Q13</f>
        <v>13.5</v>
      </c>
    </row>
    <row r="14" spans="1:18" x14ac:dyDescent="0.25">
      <c r="A14" t="s">
        <v>79</v>
      </c>
      <c r="B14" s="10" t="s">
        <v>7</v>
      </c>
      <c r="C14" s="10"/>
      <c r="D14" s="10" t="s">
        <v>58</v>
      </c>
      <c r="E14" s="10" t="s">
        <v>59</v>
      </c>
      <c r="F14" s="6">
        <v>176</v>
      </c>
      <c r="G14" s="7" t="s">
        <v>151</v>
      </c>
      <c r="H14" s="5">
        <f>+F14*3%</f>
        <v>5.2799999999999994</v>
      </c>
      <c r="I14" s="29">
        <f>+F14+H14</f>
        <v>181.28</v>
      </c>
      <c r="J14" s="9">
        <f>+F14*12%</f>
        <v>21.119999999999997</v>
      </c>
      <c r="K14" s="5">
        <f>+F14-J14</f>
        <v>154.88</v>
      </c>
      <c r="L14" s="9">
        <f>+F14*8%</f>
        <v>14.08</v>
      </c>
      <c r="M14" s="5">
        <f>+F14-L14</f>
        <v>161.91999999999999</v>
      </c>
      <c r="N14" s="9">
        <f>+F14*25%</f>
        <v>44</v>
      </c>
      <c r="O14" s="5">
        <f>+F14-N14</f>
        <v>132</v>
      </c>
      <c r="P14" s="6">
        <v>176</v>
      </c>
      <c r="Q14" s="9">
        <v>8</v>
      </c>
      <c r="R14">
        <f>+F14/Q14</f>
        <v>22</v>
      </c>
    </row>
    <row r="15" spans="1:18" x14ac:dyDescent="0.25">
      <c r="A15" t="s">
        <v>98</v>
      </c>
      <c r="B15" s="10" t="s">
        <v>8</v>
      </c>
      <c r="C15" s="10"/>
      <c r="D15" s="10" t="s">
        <v>58</v>
      </c>
      <c r="E15" s="10" t="s">
        <v>64</v>
      </c>
      <c r="F15" s="6">
        <v>168</v>
      </c>
      <c r="G15" s="7" t="s">
        <v>152</v>
      </c>
      <c r="H15" s="5">
        <f>+F15*3%</f>
        <v>5.04</v>
      </c>
      <c r="I15" s="29">
        <f>+F15+H15</f>
        <v>173.04</v>
      </c>
      <c r="J15" s="9">
        <f>+F15*12%</f>
        <v>20.16</v>
      </c>
      <c r="K15" s="5">
        <f>+F15-J15</f>
        <v>147.84</v>
      </c>
      <c r="L15" s="9">
        <f>+F15*8%</f>
        <v>13.44</v>
      </c>
      <c r="M15" s="5">
        <f>+F15-L15</f>
        <v>154.56</v>
      </c>
      <c r="N15" s="9">
        <f>+F15*25%</f>
        <v>42</v>
      </c>
      <c r="O15" s="5">
        <f>+F15-N15</f>
        <v>126</v>
      </c>
      <c r="P15" s="6">
        <v>168</v>
      </c>
      <c r="Q15" s="9">
        <v>20</v>
      </c>
      <c r="R15">
        <f>+F15/Q15</f>
        <v>8.4</v>
      </c>
    </row>
    <row r="16" spans="1:18" x14ac:dyDescent="0.25">
      <c r="A16" t="s">
        <v>95</v>
      </c>
      <c r="B16" s="14" t="s">
        <v>9</v>
      </c>
      <c r="C16" s="14"/>
      <c r="D16" s="14" t="s">
        <v>58</v>
      </c>
      <c r="E16" s="14" t="s">
        <v>59</v>
      </c>
      <c r="F16" s="6">
        <v>264</v>
      </c>
      <c r="G16" s="15" t="s">
        <v>152</v>
      </c>
      <c r="H16" s="5">
        <f>+F16*3%</f>
        <v>7.92</v>
      </c>
      <c r="I16" s="29">
        <f>+F16+H16</f>
        <v>271.92</v>
      </c>
      <c r="J16" s="9">
        <f>+F16*12%</f>
        <v>31.68</v>
      </c>
      <c r="K16" s="5">
        <f>+F16-J16</f>
        <v>232.32</v>
      </c>
      <c r="L16" s="9">
        <f>+F16*8%</f>
        <v>21.12</v>
      </c>
      <c r="M16" s="5">
        <f>+F16-L16</f>
        <v>242.88</v>
      </c>
      <c r="N16" s="9">
        <f>+F16*25%</f>
        <v>66</v>
      </c>
      <c r="O16" s="5">
        <f>+F16-N16</f>
        <v>198</v>
      </c>
      <c r="P16" s="6">
        <v>264</v>
      </c>
      <c r="Q16" s="9">
        <v>12</v>
      </c>
      <c r="R16">
        <f>+F16/Q16</f>
        <v>22</v>
      </c>
    </row>
    <row r="17" spans="1:18" x14ac:dyDescent="0.25">
      <c r="A17" t="s">
        <v>142</v>
      </c>
      <c r="B17" s="14" t="s">
        <v>148</v>
      </c>
      <c r="C17" s="14"/>
      <c r="D17" s="14" t="s">
        <v>58</v>
      </c>
      <c r="E17" s="14" t="s">
        <v>59</v>
      </c>
      <c r="F17" s="6">
        <v>264</v>
      </c>
      <c r="G17" s="15" t="s">
        <v>152</v>
      </c>
      <c r="H17" s="5">
        <f>+F17*3%</f>
        <v>7.92</v>
      </c>
      <c r="I17" s="29">
        <f>+F17+H17</f>
        <v>271.92</v>
      </c>
      <c r="J17" s="9">
        <f>+F17*12%</f>
        <v>31.68</v>
      </c>
      <c r="K17" s="5">
        <f>+F17-J17</f>
        <v>232.32</v>
      </c>
      <c r="L17" s="9">
        <f>+F17*8%</f>
        <v>21.12</v>
      </c>
      <c r="M17" s="5">
        <f>+F17-L17</f>
        <v>242.88</v>
      </c>
      <c r="N17" s="9">
        <f>+F17*25%</f>
        <v>66</v>
      </c>
      <c r="O17" s="5">
        <f>+F17-N17</f>
        <v>198</v>
      </c>
      <c r="P17" s="6">
        <v>264</v>
      </c>
      <c r="Q17" s="9">
        <v>12</v>
      </c>
      <c r="R17">
        <f>+F17/Q17</f>
        <v>22</v>
      </c>
    </row>
    <row r="18" spans="1:18" x14ac:dyDescent="0.25">
      <c r="A18" t="s">
        <v>146</v>
      </c>
      <c r="B18" s="14" t="s">
        <v>147</v>
      </c>
      <c r="C18" s="14"/>
      <c r="D18" s="14" t="s">
        <v>58</v>
      </c>
      <c r="E18" s="14" t="s">
        <v>64</v>
      </c>
      <c r="F18" s="6">
        <v>168</v>
      </c>
      <c r="G18" s="15" t="s">
        <v>152</v>
      </c>
      <c r="H18" s="5">
        <f>+F18*3%</f>
        <v>5.04</v>
      </c>
      <c r="I18" s="29">
        <f>+F18+H18</f>
        <v>173.04</v>
      </c>
      <c r="J18" s="9">
        <f>+F18*12%</f>
        <v>20.16</v>
      </c>
      <c r="K18" s="5">
        <f>+F18-J18</f>
        <v>147.84</v>
      </c>
      <c r="L18" s="9">
        <f>+F18*8%</f>
        <v>13.44</v>
      </c>
      <c r="M18" s="5">
        <f>+F18-L18</f>
        <v>154.56</v>
      </c>
      <c r="N18" s="9">
        <f>+F18*25%</f>
        <v>42</v>
      </c>
      <c r="O18" s="5">
        <f>+F18-N18</f>
        <v>126</v>
      </c>
      <c r="P18" s="6">
        <v>168</v>
      </c>
      <c r="Q18" s="9">
        <v>20</v>
      </c>
      <c r="R18">
        <f>+F18/Q18</f>
        <v>8.4</v>
      </c>
    </row>
    <row r="19" spans="1:18" x14ac:dyDescent="0.25">
      <c r="A19" t="s">
        <v>144</v>
      </c>
      <c r="B19" s="14" t="s">
        <v>145</v>
      </c>
      <c r="C19" s="14"/>
      <c r="D19" s="14" t="s">
        <v>58</v>
      </c>
      <c r="E19" s="14" t="s">
        <v>64</v>
      </c>
      <c r="F19" s="6"/>
      <c r="G19" s="15"/>
      <c r="H19" s="5"/>
      <c r="I19" s="29"/>
      <c r="J19" s="9"/>
      <c r="K19" s="5"/>
      <c r="L19" s="9"/>
      <c r="M19" s="5"/>
      <c r="N19" s="9"/>
      <c r="O19" s="5"/>
      <c r="P19" s="6">
        <f>10.5*15</f>
        <v>157.5</v>
      </c>
      <c r="Q19" s="9">
        <v>15</v>
      </c>
      <c r="R19">
        <f>+P19/Q19</f>
        <v>10.5</v>
      </c>
    </row>
    <row r="20" spans="1:18" x14ac:dyDescent="0.25">
      <c r="A20" t="s">
        <v>99</v>
      </c>
      <c r="B20" s="10" t="s">
        <v>10</v>
      </c>
      <c r="C20" s="10"/>
      <c r="D20" s="10" t="s">
        <v>58</v>
      </c>
      <c r="E20" s="10" t="s">
        <v>64</v>
      </c>
      <c r="F20" s="6">
        <v>248</v>
      </c>
      <c r="G20" s="7" t="s">
        <v>152</v>
      </c>
      <c r="H20" s="5">
        <f>+F20*3%</f>
        <v>7.4399999999999995</v>
      </c>
      <c r="I20" s="29">
        <f>+F20+H20</f>
        <v>255.44</v>
      </c>
      <c r="J20" s="9">
        <f>+F20*12%</f>
        <v>29.759999999999998</v>
      </c>
      <c r="K20" s="5">
        <f>+F20-J20</f>
        <v>218.24</v>
      </c>
      <c r="L20" s="9">
        <f>+F20*8%</f>
        <v>19.84</v>
      </c>
      <c r="M20" s="5">
        <f>+F20-L20</f>
        <v>228.16</v>
      </c>
      <c r="N20" s="9">
        <f>+F20*25%</f>
        <v>62</v>
      </c>
      <c r="O20" s="5">
        <f>+F20-N20</f>
        <v>186</v>
      </c>
      <c r="P20" s="6">
        <v>248</v>
      </c>
      <c r="Q20" s="9">
        <v>20</v>
      </c>
      <c r="R20">
        <f>+F20/Q20</f>
        <v>12.4</v>
      </c>
    </row>
    <row r="21" spans="1:18" x14ac:dyDescent="0.25">
      <c r="A21" t="s">
        <v>96</v>
      </c>
      <c r="B21" s="14" t="s">
        <v>11</v>
      </c>
      <c r="C21" s="14"/>
      <c r="D21" s="14" t="s">
        <v>58</v>
      </c>
      <c r="E21" s="14" t="s">
        <v>59</v>
      </c>
      <c r="F21" s="6">
        <v>300</v>
      </c>
      <c r="G21" s="15" t="s">
        <v>152</v>
      </c>
      <c r="H21" s="5">
        <f>+F21*3%</f>
        <v>9</v>
      </c>
      <c r="I21" s="29">
        <f>+F21+H21</f>
        <v>309</v>
      </c>
      <c r="J21" s="9">
        <f>+F21*12%</f>
        <v>36</v>
      </c>
      <c r="K21" s="5">
        <f>+F21-J21</f>
        <v>264</v>
      </c>
      <c r="L21" s="9">
        <f>+F21*8%</f>
        <v>24</v>
      </c>
      <c r="M21" s="5">
        <f>+F21-L21</f>
        <v>276</v>
      </c>
      <c r="N21" s="9">
        <f>+F21*25%</f>
        <v>75</v>
      </c>
      <c r="O21" s="5">
        <f>+F21-N21</f>
        <v>225</v>
      </c>
      <c r="P21" s="6">
        <v>300</v>
      </c>
      <c r="Q21" s="9">
        <v>12</v>
      </c>
      <c r="R21">
        <f>+F21/Q21</f>
        <v>25</v>
      </c>
    </row>
    <row r="22" spans="1:18" x14ac:dyDescent="0.25">
      <c r="A22" t="s">
        <v>97</v>
      </c>
      <c r="B22" s="10" t="s">
        <v>12</v>
      </c>
      <c r="C22" s="10"/>
      <c r="D22" s="10" t="s">
        <v>58</v>
      </c>
      <c r="E22" s="10" t="s">
        <v>64</v>
      </c>
      <c r="F22" s="6">
        <v>168</v>
      </c>
      <c r="G22" s="7" t="s">
        <v>152</v>
      </c>
      <c r="H22" s="5">
        <f>+F22*3%</f>
        <v>5.04</v>
      </c>
      <c r="I22" s="29">
        <f>+F22+H22</f>
        <v>173.04</v>
      </c>
      <c r="J22" s="9">
        <f>+F22*12%</f>
        <v>20.16</v>
      </c>
      <c r="K22" s="5">
        <f>+F22-J22</f>
        <v>147.84</v>
      </c>
      <c r="L22" s="9">
        <f>+F22*8%</f>
        <v>13.44</v>
      </c>
      <c r="M22" s="5">
        <f>+F22-L22</f>
        <v>154.56</v>
      </c>
      <c r="N22" s="9">
        <f>+F22*25%</f>
        <v>42</v>
      </c>
      <c r="O22" s="5">
        <f>+F22-N22</f>
        <v>126</v>
      </c>
      <c r="P22" s="6">
        <v>168</v>
      </c>
      <c r="Q22" s="9">
        <v>20</v>
      </c>
      <c r="R22">
        <f>+F22/Q22</f>
        <v>8.4</v>
      </c>
    </row>
    <row r="23" spans="1:18" x14ac:dyDescent="0.25">
      <c r="A23" t="s">
        <v>69</v>
      </c>
      <c r="B23" s="14" t="s">
        <v>13</v>
      </c>
      <c r="C23" s="14"/>
      <c r="D23" s="14" t="s">
        <v>58</v>
      </c>
      <c r="E23" s="14" t="s">
        <v>59</v>
      </c>
      <c r="F23" s="6">
        <v>264</v>
      </c>
      <c r="G23" s="15" t="s">
        <v>152</v>
      </c>
      <c r="H23" s="5">
        <f>+F23*3%</f>
        <v>7.92</v>
      </c>
      <c r="I23" s="29">
        <f>+F23+H23</f>
        <v>271.92</v>
      </c>
      <c r="J23" s="9">
        <f>+F23*12%</f>
        <v>31.68</v>
      </c>
      <c r="K23" s="5">
        <f>+F23-J23</f>
        <v>232.32</v>
      </c>
      <c r="L23" s="9">
        <f>+F23*8%</f>
        <v>21.12</v>
      </c>
      <c r="M23" s="5">
        <f>+F23-L23</f>
        <v>242.88</v>
      </c>
      <c r="N23" s="9">
        <f>+F23*25%</f>
        <v>66</v>
      </c>
      <c r="O23" s="5">
        <f>+F23-N23</f>
        <v>198</v>
      </c>
      <c r="P23" s="6">
        <v>264</v>
      </c>
      <c r="Q23" s="9">
        <v>12</v>
      </c>
      <c r="R23">
        <f>+F23/Q23</f>
        <v>22</v>
      </c>
    </row>
    <row r="24" spans="1:18" x14ac:dyDescent="0.25">
      <c r="A24" t="s">
        <v>123</v>
      </c>
      <c r="B24" s="10" t="s">
        <v>14</v>
      </c>
      <c r="C24" s="10"/>
      <c r="D24" s="10" t="s">
        <v>58</v>
      </c>
      <c r="E24" s="10" t="s">
        <v>64</v>
      </c>
      <c r="F24" s="6">
        <v>222</v>
      </c>
      <c r="G24" s="7" t="s">
        <v>152</v>
      </c>
      <c r="H24" s="5">
        <f>+F24*3%</f>
        <v>6.66</v>
      </c>
      <c r="I24" s="29">
        <f>+F24+H24</f>
        <v>228.66</v>
      </c>
      <c r="J24" s="9">
        <f>+F24*12%</f>
        <v>26.64</v>
      </c>
      <c r="K24" s="5">
        <f>+F24-J24</f>
        <v>195.36</v>
      </c>
      <c r="L24" s="9">
        <f>+F24*8%</f>
        <v>17.760000000000002</v>
      </c>
      <c r="M24" s="5">
        <f>+F24-L24</f>
        <v>204.24</v>
      </c>
      <c r="N24" s="9">
        <f>+F24*25%</f>
        <v>55.5</v>
      </c>
      <c r="O24" s="5">
        <f>+F24-N24</f>
        <v>166.5</v>
      </c>
      <c r="P24" s="6">
        <v>222</v>
      </c>
      <c r="Q24" s="9">
        <v>30</v>
      </c>
      <c r="R24">
        <f>+F24/Q24</f>
        <v>7.4</v>
      </c>
    </row>
    <row r="25" spans="1:18" x14ac:dyDescent="0.25">
      <c r="A25" t="s">
        <v>138</v>
      </c>
      <c r="B25" s="10" t="s">
        <v>15</v>
      </c>
      <c r="C25" s="10"/>
      <c r="D25" s="10" t="s">
        <v>58</v>
      </c>
      <c r="E25" s="10" t="s">
        <v>59</v>
      </c>
      <c r="F25" s="6">
        <v>240</v>
      </c>
      <c r="G25" s="7" t="s">
        <v>152</v>
      </c>
      <c r="H25" s="5">
        <f>+F25*3%</f>
        <v>7.1999999999999993</v>
      </c>
      <c r="I25" s="29">
        <f>+F25+H25</f>
        <v>247.2</v>
      </c>
      <c r="J25" s="9">
        <f>+F25*12%</f>
        <v>28.799999999999997</v>
      </c>
      <c r="K25" s="5">
        <f>+F25-J25</f>
        <v>211.2</v>
      </c>
      <c r="L25" s="9">
        <f>+F25*8%</f>
        <v>19.2</v>
      </c>
      <c r="M25" s="5">
        <f>+F25-L25</f>
        <v>220.8</v>
      </c>
      <c r="N25" s="9">
        <f>+F25*25%</f>
        <v>60</v>
      </c>
      <c r="O25" s="5">
        <f>+F25-N25</f>
        <v>180</v>
      </c>
      <c r="P25" s="6">
        <v>240</v>
      </c>
      <c r="Q25" s="9">
        <v>12</v>
      </c>
      <c r="R25">
        <f>+F25/Q25</f>
        <v>20</v>
      </c>
    </row>
    <row r="26" spans="1:18" x14ac:dyDescent="0.25">
      <c r="A26" t="s">
        <v>108</v>
      </c>
      <c r="B26" s="10" t="s">
        <v>16</v>
      </c>
      <c r="C26" s="10"/>
      <c r="D26" s="10" t="s">
        <v>58</v>
      </c>
      <c r="E26" s="10" t="s">
        <v>64</v>
      </c>
      <c r="F26" s="6">
        <v>222</v>
      </c>
      <c r="G26" s="7" t="s">
        <v>152</v>
      </c>
      <c r="H26" s="5">
        <f>+F26*3%</f>
        <v>6.66</v>
      </c>
      <c r="I26" s="29">
        <f>+F26+H26</f>
        <v>228.66</v>
      </c>
      <c r="J26" s="9">
        <f>+F26*12%</f>
        <v>26.64</v>
      </c>
      <c r="K26" s="5">
        <f>+F26-J26</f>
        <v>195.36</v>
      </c>
      <c r="L26" s="9">
        <f>+F26*8%</f>
        <v>17.760000000000002</v>
      </c>
      <c r="M26" s="5">
        <f>+F26-L26</f>
        <v>204.24</v>
      </c>
      <c r="N26" s="9">
        <f>+F26*25%</f>
        <v>55.5</v>
      </c>
      <c r="O26" s="5">
        <f>+F26-N26</f>
        <v>166.5</v>
      </c>
      <c r="P26" s="6">
        <v>222</v>
      </c>
      <c r="Q26" s="9">
        <v>30</v>
      </c>
      <c r="R26">
        <f>+F26/Q26</f>
        <v>7.4</v>
      </c>
    </row>
    <row r="27" spans="1:18" x14ac:dyDescent="0.25">
      <c r="A27" t="s">
        <v>104</v>
      </c>
      <c r="B27" s="10" t="s">
        <v>17</v>
      </c>
      <c r="C27" s="10"/>
      <c r="D27" s="10" t="s">
        <v>58</v>
      </c>
      <c r="E27" s="10" t="s">
        <v>59</v>
      </c>
      <c r="F27" s="6">
        <v>240</v>
      </c>
      <c r="G27" s="7" t="s">
        <v>152</v>
      </c>
      <c r="H27" s="5">
        <f>+F27*3%</f>
        <v>7.1999999999999993</v>
      </c>
      <c r="I27" s="29">
        <f>+F27+H27</f>
        <v>247.2</v>
      </c>
      <c r="J27" s="9">
        <f>+F27*12%</f>
        <v>28.799999999999997</v>
      </c>
      <c r="K27" s="5">
        <f>+F27-J27</f>
        <v>211.2</v>
      </c>
      <c r="L27" s="9">
        <f>+F27*8%</f>
        <v>19.2</v>
      </c>
      <c r="M27" s="5">
        <f>+F27-L27</f>
        <v>220.8</v>
      </c>
      <c r="N27" s="9">
        <f>+F27*25%</f>
        <v>60</v>
      </c>
      <c r="O27" s="5">
        <f>+F27-N27</f>
        <v>180</v>
      </c>
      <c r="P27" s="6">
        <v>240</v>
      </c>
      <c r="Q27" s="9">
        <v>12</v>
      </c>
      <c r="R27">
        <f>+F27/Q27</f>
        <v>20</v>
      </c>
    </row>
    <row r="28" spans="1:18" x14ac:dyDescent="0.25">
      <c r="A28" t="s">
        <v>103</v>
      </c>
      <c r="B28" s="16" t="s">
        <v>18</v>
      </c>
      <c r="C28" s="16"/>
      <c r="D28" s="16" t="s">
        <v>58</v>
      </c>
      <c r="E28" s="16" t="s">
        <v>59</v>
      </c>
      <c r="F28" s="6">
        <v>240</v>
      </c>
      <c r="G28" s="7" t="s">
        <v>152</v>
      </c>
      <c r="H28" s="5">
        <f>+F28*3%</f>
        <v>7.1999999999999993</v>
      </c>
      <c r="I28" s="29">
        <f>+F28+H28</f>
        <v>247.2</v>
      </c>
      <c r="J28" s="9">
        <f>+F28*12%</f>
        <v>28.799999999999997</v>
      </c>
      <c r="K28" s="5">
        <f>+F28-J28</f>
        <v>211.2</v>
      </c>
      <c r="L28" s="9">
        <f>+F28*8%</f>
        <v>19.2</v>
      </c>
      <c r="M28" s="5">
        <f>+F28-L28</f>
        <v>220.8</v>
      </c>
      <c r="N28" s="9">
        <f>+F28*25%</f>
        <v>60</v>
      </c>
      <c r="O28" s="5">
        <f>+F28-N28</f>
        <v>180</v>
      </c>
      <c r="P28" s="6">
        <v>240</v>
      </c>
      <c r="Q28" s="9">
        <v>12</v>
      </c>
      <c r="R28">
        <f>+F28/Q28</f>
        <v>20</v>
      </c>
    </row>
    <row r="29" spans="1:18" x14ac:dyDescent="0.25">
      <c r="A29" t="s">
        <v>105</v>
      </c>
      <c r="B29" s="10" t="s">
        <v>19</v>
      </c>
      <c r="C29" s="10"/>
      <c r="D29" s="10" t="s">
        <v>58</v>
      </c>
      <c r="E29" s="10" t="s">
        <v>64</v>
      </c>
      <c r="F29" s="6">
        <v>222</v>
      </c>
      <c r="G29" s="7" t="s">
        <v>152</v>
      </c>
      <c r="H29" s="5">
        <f>+F29*3%</f>
        <v>6.66</v>
      </c>
      <c r="I29" s="29">
        <f>+F29+H29</f>
        <v>228.66</v>
      </c>
      <c r="J29" s="9">
        <f>+F29*12%</f>
        <v>26.64</v>
      </c>
      <c r="K29" s="5">
        <f>+F29-J29</f>
        <v>195.36</v>
      </c>
      <c r="L29" s="9">
        <f>+F29*8%</f>
        <v>17.760000000000002</v>
      </c>
      <c r="M29" s="5">
        <f>+F29-L29</f>
        <v>204.24</v>
      </c>
      <c r="N29" s="9">
        <f>+F29*25%</f>
        <v>55.5</v>
      </c>
      <c r="O29" s="5">
        <f>+F29-N29</f>
        <v>166.5</v>
      </c>
      <c r="P29" s="6">
        <v>222</v>
      </c>
      <c r="Q29" s="9">
        <v>30</v>
      </c>
      <c r="R29">
        <f>+F29/Q29</f>
        <v>7.4</v>
      </c>
    </row>
    <row r="30" spans="1:18" x14ac:dyDescent="0.25">
      <c r="A30" t="s">
        <v>106</v>
      </c>
      <c r="B30" s="10" t="s">
        <v>107</v>
      </c>
      <c r="C30" s="10"/>
      <c r="D30" s="10" t="s">
        <v>58</v>
      </c>
      <c r="E30" s="10" t="s">
        <v>64</v>
      </c>
      <c r="F30" s="6">
        <v>222</v>
      </c>
      <c r="G30" s="7" t="s">
        <v>152</v>
      </c>
      <c r="H30" s="5">
        <f>+F30*3%</f>
        <v>6.66</v>
      </c>
      <c r="I30" s="29">
        <f>+F30+H30</f>
        <v>228.66</v>
      </c>
      <c r="J30" s="9">
        <f>+F30*12%</f>
        <v>26.64</v>
      </c>
      <c r="K30" s="5">
        <f>+F30-J30</f>
        <v>195.36</v>
      </c>
      <c r="L30" s="9">
        <f>+F30*8%</f>
        <v>17.760000000000002</v>
      </c>
      <c r="M30" s="5">
        <f>+F30-L30</f>
        <v>204.24</v>
      </c>
      <c r="N30" s="9">
        <f>+F30*25%</f>
        <v>55.5</v>
      </c>
      <c r="O30" s="5">
        <f>+F30-N30</f>
        <v>166.5</v>
      </c>
      <c r="P30" s="6">
        <v>222</v>
      </c>
      <c r="Q30" s="9">
        <v>30</v>
      </c>
      <c r="R30">
        <f>+F30/Q30</f>
        <v>7.4</v>
      </c>
    </row>
    <row r="31" spans="1:18" x14ac:dyDescent="0.25">
      <c r="A31" t="s">
        <v>102</v>
      </c>
      <c r="B31" s="16" t="s">
        <v>20</v>
      </c>
      <c r="C31" s="16"/>
      <c r="D31" s="16" t="s">
        <v>58</v>
      </c>
      <c r="E31" s="16" t="s">
        <v>59</v>
      </c>
      <c r="F31" s="6">
        <v>240</v>
      </c>
      <c r="G31" s="7" t="s">
        <v>152</v>
      </c>
      <c r="H31" s="5">
        <f>+F31*3%</f>
        <v>7.1999999999999993</v>
      </c>
      <c r="I31" s="29">
        <f>+F31+H31</f>
        <v>247.2</v>
      </c>
      <c r="J31" s="9">
        <f>+F31*12%</f>
        <v>28.799999999999997</v>
      </c>
      <c r="K31" s="5">
        <f>+F31-J31</f>
        <v>211.2</v>
      </c>
      <c r="L31" s="9">
        <f>+F31*8%</f>
        <v>19.2</v>
      </c>
      <c r="M31" s="5">
        <f>+F31-L31</f>
        <v>220.8</v>
      </c>
      <c r="N31" s="9">
        <f>+F31*25%</f>
        <v>60</v>
      </c>
      <c r="O31" s="5">
        <f>+F31-N31</f>
        <v>180</v>
      </c>
      <c r="P31" s="6">
        <v>240</v>
      </c>
      <c r="Q31" s="9">
        <v>12</v>
      </c>
      <c r="R31">
        <f>+F31/Q31</f>
        <v>20</v>
      </c>
    </row>
    <row r="32" spans="1:18" x14ac:dyDescent="0.25">
      <c r="A32" t="s">
        <v>120</v>
      </c>
      <c r="B32" s="17" t="s">
        <v>21</v>
      </c>
      <c r="C32" s="17"/>
      <c r="D32" s="17" t="s">
        <v>61</v>
      </c>
      <c r="E32" s="17" t="s">
        <v>65</v>
      </c>
      <c r="F32" s="31">
        <v>360</v>
      </c>
      <c r="G32" s="7" t="s">
        <v>152</v>
      </c>
      <c r="H32" s="5">
        <f>+F32*3%</f>
        <v>10.799999999999999</v>
      </c>
      <c r="I32" s="29">
        <f>+F32+H32</f>
        <v>370.8</v>
      </c>
      <c r="J32" s="9">
        <f>+F32*12%</f>
        <v>43.199999999999996</v>
      </c>
      <c r="K32" s="29">
        <f>+F32-J32</f>
        <v>316.8</v>
      </c>
      <c r="L32" s="9">
        <f>+F32*8%</f>
        <v>28.8</v>
      </c>
      <c r="M32" s="29">
        <f>+F32-L32</f>
        <v>331.2</v>
      </c>
      <c r="N32" s="9">
        <f>+F32*25%</f>
        <v>90</v>
      </c>
      <c r="O32" s="5">
        <f>+F32-N32</f>
        <v>270</v>
      </c>
      <c r="P32" s="31">
        <v>360</v>
      </c>
      <c r="Q32" s="9">
        <v>11</v>
      </c>
      <c r="R32" s="8">
        <f>+F32/Q32</f>
        <v>32.727272727272727</v>
      </c>
    </row>
    <row r="33" spans="1:18" x14ac:dyDescent="0.25">
      <c r="A33" t="s">
        <v>119</v>
      </c>
      <c r="B33" s="17" t="s">
        <v>22</v>
      </c>
      <c r="C33" s="17"/>
      <c r="D33" s="17" t="s">
        <v>61</v>
      </c>
      <c r="E33" s="17" t="s">
        <v>65</v>
      </c>
      <c r="F33" s="6">
        <v>150</v>
      </c>
      <c r="G33" s="7" t="s">
        <v>152</v>
      </c>
      <c r="H33" s="5">
        <f>+F33*3%</f>
        <v>4.5</v>
      </c>
      <c r="I33" s="29">
        <f>+F33+H33</f>
        <v>154.5</v>
      </c>
      <c r="J33" s="9">
        <f>+F33*12%</f>
        <v>18</v>
      </c>
      <c r="K33" s="5">
        <f>+F33-J33</f>
        <v>132</v>
      </c>
      <c r="L33" s="9">
        <f>+F33*8%</f>
        <v>12</v>
      </c>
      <c r="M33" s="5">
        <f>+F33-L33</f>
        <v>138</v>
      </c>
      <c r="N33" s="9">
        <f>+F33*25%</f>
        <v>37.5</v>
      </c>
      <c r="O33" s="5">
        <f>+F33-N33</f>
        <v>112.5</v>
      </c>
      <c r="P33" s="6">
        <v>150</v>
      </c>
      <c r="Q33" s="9">
        <v>15</v>
      </c>
      <c r="R33">
        <f>+F33/Q33</f>
        <v>10</v>
      </c>
    </row>
    <row r="34" spans="1:18" x14ac:dyDescent="0.25">
      <c r="A34" t="s">
        <v>121</v>
      </c>
      <c r="B34" s="17" t="s">
        <v>122</v>
      </c>
      <c r="C34" s="17"/>
      <c r="D34" s="17" t="s">
        <v>58</v>
      </c>
      <c r="E34" s="17" t="s">
        <v>58</v>
      </c>
      <c r="F34" s="6">
        <v>408</v>
      </c>
      <c r="G34" s="7" t="s">
        <v>152</v>
      </c>
      <c r="H34" s="5">
        <f>+F34*3%</f>
        <v>12.24</v>
      </c>
      <c r="I34" s="29">
        <f>+F34+H34</f>
        <v>420.24</v>
      </c>
      <c r="J34" s="9">
        <f>+F34*12%</f>
        <v>48.96</v>
      </c>
      <c r="K34" s="5">
        <f>+F34-J34</f>
        <v>359.04</v>
      </c>
      <c r="L34" s="9">
        <f>+F34*8%</f>
        <v>32.64</v>
      </c>
      <c r="M34" s="5">
        <f>+F34-L34</f>
        <v>375.36</v>
      </c>
      <c r="N34" s="9">
        <f>+F34*25%</f>
        <v>102</v>
      </c>
      <c r="O34" s="5">
        <f>+F34-N34</f>
        <v>306</v>
      </c>
      <c r="P34" s="6">
        <v>408</v>
      </c>
      <c r="Q34" s="9">
        <v>12</v>
      </c>
      <c r="R34">
        <f>+F34/Q34</f>
        <v>34</v>
      </c>
    </row>
    <row r="35" spans="1:18" x14ac:dyDescent="0.25">
      <c r="A35" t="s">
        <v>88</v>
      </c>
      <c r="B35" s="27" t="s">
        <v>23</v>
      </c>
      <c r="C35" s="27"/>
      <c r="D35" s="27" t="s">
        <v>61</v>
      </c>
      <c r="E35" s="27" t="s">
        <v>65</v>
      </c>
      <c r="F35" s="31">
        <v>57.5</v>
      </c>
      <c r="G35" s="28" t="s">
        <v>152</v>
      </c>
      <c r="H35" s="5">
        <f>+F35*3%</f>
        <v>1.7249999999999999</v>
      </c>
      <c r="I35" s="29">
        <f>+F35+H35</f>
        <v>59.225000000000001</v>
      </c>
      <c r="J35" s="9">
        <f>+F35*12%</f>
        <v>6.8999999999999995</v>
      </c>
      <c r="K35" s="5">
        <f>+F35-J35</f>
        <v>50.6</v>
      </c>
      <c r="L35" s="9">
        <f>+F35*8%</f>
        <v>4.6000000000000005</v>
      </c>
      <c r="M35" s="5">
        <f>+F35-L35</f>
        <v>52.9</v>
      </c>
      <c r="N35" s="26">
        <v>0</v>
      </c>
      <c r="O35" s="18">
        <v>0</v>
      </c>
      <c r="P35" s="31">
        <v>57.5</v>
      </c>
      <c r="Q35" s="9">
        <v>5</v>
      </c>
      <c r="R35">
        <f>+F35/Q35</f>
        <v>11.5</v>
      </c>
    </row>
    <row r="36" spans="1:18" x14ac:dyDescent="0.25">
      <c r="A36" t="s">
        <v>109</v>
      </c>
      <c r="B36" s="10" t="s">
        <v>24</v>
      </c>
      <c r="C36" s="10"/>
      <c r="D36" s="10" t="s">
        <v>61</v>
      </c>
      <c r="E36" s="10" t="s">
        <v>59</v>
      </c>
      <c r="F36" s="6">
        <v>100</v>
      </c>
      <c r="G36" s="7" t="s">
        <v>152</v>
      </c>
      <c r="H36" s="5">
        <f>+F36*3%</f>
        <v>3</v>
      </c>
      <c r="I36" s="29">
        <f>+F36+H36</f>
        <v>103</v>
      </c>
      <c r="J36" s="9">
        <f>+F36*12%</f>
        <v>12</v>
      </c>
      <c r="K36" s="5">
        <f>+F36-J36</f>
        <v>88</v>
      </c>
      <c r="L36" s="9">
        <f>+F36*8%</f>
        <v>8</v>
      </c>
      <c r="M36" s="5">
        <f>+F36-L36</f>
        <v>92</v>
      </c>
      <c r="N36" s="9">
        <f>+F36*25%</f>
        <v>25</v>
      </c>
      <c r="O36" s="5">
        <f>+F36-N36</f>
        <v>75</v>
      </c>
      <c r="P36" s="6">
        <v>100</v>
      </c>
      <c r="Q36" s="9">
        <v>5</v>
      </c>
      <c r="R36">
        <f>+F36/Q36</f>
        <v>20</v>
      </c>
    </row>
    <row r="37" spans="1:18" x14ac:dyDescent="0.25">
      <c r="A37" t="s">
        <v>131</v>
      </c>
      <c r="B37" s="4" t="s">
        <v>25</v>
      </c>
      <c r="C37" s="4"/>
      <c r="D37" s="4" t="s">
        <v>61</v>
      </c>
      <c r="E37" s="4" t="s">
        <v>64</v>
      </c>
      <c r="F37" s="6">
        <v>148</v>
      </c>
      <c r="G37" s="7" t="s">
        <v>152</v>
      </c>
      <c r="H37" s="5">
        <f>+F37*3%</f>
        <v>4.4399999999999995</v>
      </c>
      <c r="I37" s="29">
        <f>+F37+H37</f>
        <v>152.44</v>
      </c>
      <c r="J37" s="9">
        <f>+F37*12%</f>
        <v>17.759999999999998</v>
      </c>
      <c r="K37" s="5">
        <f>+F37-J37</f>
        <v>130.24</v>
      </c>
      <c r="L37" s="9">
        <f>+F37*8%</f>
        <v>11.84</v>
      </c>
      <c r="M37" s="5">
        <f>+F37-L37</f>
        <v>136.16</v>
      </c>
      <c r="N37" s="9">
        <f>+F37*25%</f>
        <v>37</v>
      </c>
      <c r="O37" s="5">
        <f>+F37-N37</f>
        <v>111</v>
      </c>
      <c r="P37" s="6">
        <v>148</v>
      </c>
      <c r="Q37" s="9">
        <v>20</v>
      </c>
      <c r="R37">
        <f>+F37/Q37</f>
        <v>7.4</v>
      </c>
    </row>
    <row r="40" spans="1:18" x14ac:dyDescent="0.25">
      <c r="B40" t="s">
        <v>37</v>
      </c>
    </row>
    <row r="41" spans="1:18" x14ac:dyDescent="0.25">
      <c r="B41" s="57" t="s">
        <v>62</v>
      </c>
      <c r="C41" s="57"/>
      <c r="D41" s="57"/>
      <c r="E41" s="57"/>
      <c r="F41" s="57"/>
      <c r="G41" s="57"/>
      <c r="H41" s="57"/>
      <c r="I41" s="57"/>
      <c r="J41" s="57"/>
      <c r="K41" s="57"/>
    </row>
    <row r="42" spans="1:18" x14ac:dyDescent="0.25">
      <c r="B42" s="57" t="s">
        <v>57</v>
      </c>
      <c r="C42" s="57"/>
      <c r="D42" s="57"/>
      <c r="E42" s="57"/>
      <c r="F42" s="57"/>
      <c r="G42" s="57"/>
      <c r="H42" s="57"/>
      <c r="I42" s="57"/>
      <c r="J42" s="57"/>
      <c r="K42" s="57" t="s">
        <v>58</v>
      </c>
    </row>
    <row r="43" spans="1:18" x14ac:dyDescent="0.25">
      <c r="B43" s="57" t="s">
        <v>68</v>
      </c>
      <c r="C43" s="57"/>
      <c r="D43" s="57"/>
      <c r="E43" s="57"/>
      <c r="F43" s="57"/>
      <c r="G43" s="57"/>
      <c r="H43" s="57"/>
      <c r="I43" s="57"/>
      <c r="J43" s="57"/>
      <c r="K43" s="57" t="s">
        <v>61</v>
      </c>
    </row>
    <row r="44" spans="1:18" x14ac:dyDescent="0.25">
      <c r="B44" s="57"/>
      <c r="C44" s="57"/>
      <c r="D44" s="57"/>
      <c r="E44" s="57"/>
      <c r="F44" s="57"/>
      <c r="G44" s="57"/>
      <c r="H44" s="57"/>
      <c r="I44" s="58"/>
      <c r="J44" s="57"/>
      <c r="K44" s="57" t="s">
        <v>59</v>
      </c>
    </row>
    <row r="45" spans="1:18" x14ac:dyDescent="0.25">
      <c r="B45" s="57"/>
      <c r="C45" s="57"/>
      <c r="D45" s="57"/>
      <c r="E45" s="57"/>
      <c r="F45" s="57"/>
      <c r="G45" s="57"/>
      <c r="H45" s="57"/>
      <c r="I45" s="59"/>
      <c r="J45" s="57"/>
      <c r="K45" s="57" t="s">
        <v>60</v>
      </c>
    </row>
  </sheetData>
  <autoFilter ref="A2:R37"/>
  <mergeCells count="1">
    <mergeCell ref="G1:R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13"/>
  <sheetViews>
    <sheetView workbookViewId="0">
      <selection activeCell="J9" sqref="J9"/>
    </sheetView>
  </sheetViews>
  <sheetFormatPr baseColWidth="10" defaultRowHeight="15" x14ac:dyDescent="0.25"/>
  <cols>
    <col min="2" max="2" width="18.28515625" customWidth="1"/>
    <col min="9" max="9" width="17.42578125" customWidth="1"/>
    <col min="10" max="10" width="19.28515625" customWidth="1"/>
  </cols>
  <sheetData>
    <row r="1" spans="1:11" ht="23.25" x14ac:dyDescent="0.25">
      <c r="A1" s="33" t="s">
        <v>39</v>
      </c>
    </row>
    <row r="2" spans="1:11" x14ac:dyDescent="0.25">
      <c r="I2" s="34" t="s">
        <v>40</v>
      </c>
    </row>
    <row r="3" spans="1:11" ht="39" customHeight="1" x14ac:dyDescent="0.25">
      <c r="A3" s="35" t="s">
        <v>41</v>
      </c>
      <c r="B3" s="35" t="s">
        <v>42</v>
      </c>
      <c r="C3" s="35"/>
      <c r="D3" s="36" t="s">
        <v>43</v>
      </c>
      <c r="E3" s="36"/>
      <c r="F3" s="37"/>
      <c r="G3" s="36"/>
      <c r="H3" s="36"/>
      <c r="I3" s="62" t="s">
        <v>153</v>
      </c>
      <c r="J3" s="56" t="s">
        <v>44</v>
      </c>
      <c r="K3" s="56"/>
    </row>
    <row r="4" spans="1:11" x14ac:dyDescent="0.25">
      <c r="A4" s="38">
        <v>1</v>
      </c>
      <c r="B4" s="39" t="s">
        <v>45</v>
      </c>
      <c r="C4" s="40"/>
      <c r="D4" s="41" t="s">
        <v>46</v>
      </c>
      <c r="E4" s="41"/>
      <c r="F4" s="41"/>
      <c r="G4" s="41"/>
      <c r="H4" s="41"/>
      <c r="I4" s="34"/>
      <c r="J4" s="34"/>
    </row>
    <row r="5" spans="1:11" x14ac:dyDescent="0.25">
      <c r="A5" s="38">
        <v>2</v>
      </c>
      <c r="B5" s="42" t="s">
        <v>47</v>
      </c>
      <c r="C5" s="43"/>
      <c r="D5" s="44" t="s">
        <v>54</v>
      </c>
      <c r="E5" s="44"/>
      <c r="F5" s="44"/>
      <c r="G5" s="44"/>
      <c r="H5" s="44"/>
      <c r="I5" s="19">
        <v>0.03</v>
      </c>
      <c r="J5" s="19">
        <v>0.05</v>
      </c>
    </row>
    <row r="6" spans="1:11" x14ac:dyDescent="0.25">
      <c r="A6" s="38">
        <v>3</v>
      </c>
      <c r="B6" s="45" t="s">
        <v>48</v>
      </c>
      <c r="C6" s="46"/>
      <c r="D6" s="47" t="s">
        <v>49</v>
      </c>
      <c r="E6" s="47"/>
      <c r="F6" s="47"/>
      <c r="G6" s="47"/>
      <c r="H6" s="47"/>
      <c r="I6" s="19">
        <v>0.04</v>
      </c>
      <c r="J6" s="19">
        <v>0.06</v>
      </c>
    </row>
    <row r="7" spans="1:11" x14ac:dyDescent="0.25">
      <c r="A7" s="38">
        <v>4</v>
      </c>
      <c r="B7" s="48" t="s">
        <v>50</v>
      </c>
      <c r="C7" s="49"/>
      <c r="D7" s="50" t="s">
        <v>51</v>
      </c>
      <c r="E7" s="50"/>
      <c r="F7" s="50"/>
      <c r="G7" s="50"/>
      <c r="H7" s="50"/>
      <c r="I7" s="51">
        <v>0.05</v>
      </c>
      <c r="J7" s="51">
        <v>7.0000000000000007E-2</v>
      </c>
    </row>
    <row r="8" spans="1:11" x14ac:dyDescent="0.25">
      <c r="A8" s="38">
        <v>5</v>
      </c>
      <c r="B8" s="52" t="s">
        <v>52</v>
      </c>
      <c r="C8" s="53"/>
      <c r="D8" s="54" t="s">
        <v>53</v>
      </c>
      <c r="E8" s="54"/>
      <c r="F8" s="50"/>
      <c r="G8" s="54"/>
      <c r="H8" s="54"/>
      <c r="I8" s="55">
        <v>5.5E-2</v>
      </c>
      <c r="J8" s="55">
        <v>7.4999999999999997E-2</v>
      </c>
    </row>
    <row r="11" spans="1:11" x14ac:dyDescent="0.25">
      <c r="B11" t="s">
        <v>150</v>
      </c>
    </row>
    <row r="12" spans="1:11" x14ac:dyDescent="0.25">
      <c r="D12" t="s">
        <v>55</v>
      </c>
    </row>
    <row r="13" spans="1:11" x14ac:dyDescent="0.25">
      <c r="D13" t="s">
        <v>27</v>
      </c>
    </row>
  </sheetData>
  <mergeCells count="6">
    <mergeCell ref="D8:H8"/>
    <mergeCell ref="D3:H3"/>
    <mergeCell ref="D4:H4"/>
    <mergeCell ref="D5:H5"/>
    <mergeCell ref="D6:H6"/>
    <mergeCell ref="D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6" sqref="E16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E53"/>
  <sheetViews>
    <sheetView topLeftCell="A8" zoomScale="115" zoomScaleNormal="115" workbookViewId="0">
      <selection activeCell="B45" sqref="B45"/>
    </sheetView>
  </sheetViews>
  <sheetFormatPr baseColWidth="10" defaultRowHeight="15" x14ac:dyDescent="0.25"/>
  <cols>
    <col min="2" max="2" width="60.7109375" bestFit="1" customWidth="1"/>
  </cols>
  <sheetData>
    <row r="2" spans="2:5" hidden="1" x14ac:dyDescent="0.25">
      <c r="B2" t="s">
        <v>13</v>
      </c>
      <c r="C2" t="s">
        <v>69</v>
      </c>
      <c r="D2" t="str">
        <f>+VLOOKUP(B2,'LISTADO DE PRECIOS'!$B$3:$D$37,3,FALSE)</f>
        <v>CAJA</v>
      </c>
    </row>
    <row r="3" spans="2:5" hidden="1" x14ac:dyDescent="0.25">
      <c r="B3" t="s">
        <v>5</v>
      </c>
      <c r="C3" t="s">
        <v>70</v>
      </c>
      <c r="D3" t="str">
        <f>+VLOOKUP(B3,'LISTADO DE PRECIOS'!$B$3:$D$37,3,FALSE)</f>
        <v>CAJA</v>
      </c>
    </row>
    <row r="4" spans="2:5" x14ac:dyDescent="0.25">
      <c r="B4" s="57" t="s">
        <v>72</v>
      </c>
      <c r="C4" s="57" t="s">
        <v>71</v>
      </c>
      <c r="D4" s="57" t="e">
        <f>+VLOOKUP(B4,'LISTADO DE PRECIOS'!$B$3:$D$37,3,FALSE)</f>
        <v>#N/A</v>
      </c>
      <c r="E4" s="57"/>
    </row>
    <row r="5" spans="2:5" hidden="1" x14ac:dyDescent="0.25">
      <c r="B5" t="s">
        <v>1</v>
      </c>
      <c r="C5" t="s">
        <v>73</v>
      </c>
      <c r="D5" t="str">
        <f>+VLOOKUP(B5,'LISTADO DE PRECIOS'!$B$3:$D$37,3,FALSE)</f>
        <v>CAJA</v>
      </c>
    </row>
    <row r="6" spans="2:5" x14ac:dyDescent="0.25">
      <c r="B6" s="57" t="s">
        <v>81</v>
      </c>
      <c r="C6" s="57" t="s">
        <v>80</v>
      </c>
      <c r="D6" s="57" t="e">
        <f>+VLOOKUP(B6,'LISTADO DE PRECIOS'!$B$3:$D$37,3,FALSE)</f>
        <v>#N/A</v>
      </c>
      <c r="E6" s="57"/>
    </row>
    <row r="7" spans="2:5" hidden="1" x14ac:dyDescent="0.25">
      <c r="B7" t="s">
        <v>2</v>
      </c>
      <c r="C7" t="s">
        <v>76</v>
      </c>
      <c r="D7" t="str">
        <f>+VLOOKUP(B7,'LISTADO DE PRECIOS'!$B$3:$D$37,3,FALSE)</f>
        <v>JABA</v>
      </c>
    </row>
    <row r="8" spans="2:5" x14ac:dyDescent="0.25">
      <c r="B8" s="57" t="s">
        <v>83</v>
      </c>
      <c r="C8" s="57" t="s">
        <v>82</v>
      </c>
      <c r="D8" s="57" t="e">
        <f>+VLOOKUP(B8,'LISTADO DE PRECIOS'!$B$3:$D$37,3,FALSE)</f>
        <v>#N/A</v>
      </c>
      <c r="E8" s="57"/>
    </row>
    <row r="9" spans="2:5" hidden="1" x14ac:dyDescent="0.25">
      <c r="B9" t="s">
        <v>7</v>
      </c>
      <c r="C9" t="s">
        <v>79</v>
      </c>
      <c r="D9" t="str">
        <f>+VLOOKUP(B9,'LISTADO DE PRECIOS'!$B$3:$D$37,3,FALSE)</f>
        <v>CAJA</v>
      </c>
    </row>
    <row r="10" spans="2:5" x14ac:dyDescent="0.25">
      <c r="B10" s="57" t="s">
        <v>94</v>
      </c>
      <c r="C10" s="57" t="s">
        <v>93</v>
      </c>
      <c r="D10" s="57" t="e">
        <f>+VLOOKUP(B10,'LISTADO DE PRECIOS'!$B$3:$D$37,3,FALSE)</f>
        <v>#N/A</v>
      </c>
      <c r="E10" s="57"/>
    </row>
    <row r="11" spans="2:5" x14ac:dyDescent="0.25">
      <c r="B11" s="57" t="s">
        <v>75</v>
      </c>
      <c r="C11" s="57" t="s">
        <v>74</v>
      </c>
      <c r="D11" s="57" t="e">
        <f>+VLOOKUP(B11,'LISTADO DE PRECIOS'!$B$3:$D$37,3,FALSE)</f>
        <v>#N/A</v>
      </c>
      <c r="E11" s="57"/>
    </row>
    <row r="12" spans="2:5" hidden="1" x14ac:dyDescent="0.25">
      <c r="B12" t="s">
        <v>85</v>
      </c>
      <c r="C12" t="s">
        <v>84</v>
      </c>
      <c r="D12" t="str">
        <f>+VLOOKUP(B12,'LISTADO DE PRECIOS'!$B$3:$D$37,3,FALSE)</f>
        <v>JABA</v>
      </c>
    </row>
    <row r="13" spans="2:5" x14ac:dyDescent="0.25">
      <c r="B13" t="s">
        <v>133</v>
      </c>
      <c r="C13" t="s">
        <v>132</v>
      </c>
      <c r="D13" t="str">
        <f>+VLOOKUP(B13,'LISTADO DE PRECIOS'!$B$3:$D$37,3,FALSE)</f>
        <v>JABA</v>
      </c>
      <c r="E13" s="57"/>
    </row>
    <row r="14" spans="2:5" hidden="1" x14ac:dyDescent="0.25">
      <c r="B14" t="s">
        <v>23</v>
      </c>
      <c r="C14" t="s">
        <v>88</v>
      </c>
      <c r="D14" t="str">
        <f>+VLOOKUP(B14,'LISTADO DE PRECIOS'!$B$3:$D$37,3,FALSE)</f>
        <v>JABA</v>
      </c>
    </row>
    <row r="15" spans="2:5" hidden="1" x14ac:dyDescent="0.25">
      <c r="B15" t="s">
        <v>90</v>
      </c>
      <c r="C15" t="s">
        <v>89</v>
      </c>
      <c r="D15" t="str">
        <f>+VLOOKUP(B15,'LISTADO DE PRECIOS'!$B$3:$D$37,3,FALSE)</f>
        <v>JABA</v>
      </c>
    </row>
    <row r="16" spans="2:5" x14ac:dyDescent="0.25">
      <c r="B16" t="s">
        <v>135</v>
      </c>
      <c r="C16" t="s">
        <v>134</v>
      </c>
      <c r="D16" t="str">
        <f>+VLOOKUP(B16,'LISTADO DE PRECIOS'!$B$3:$D$37,3,FALSE)</f>
        <v>JABA</v>
      </c>
      <c r="E16" s="57"/>
    </row>
    <row r="17" spans="2:5" x14ac:dyDescent="0.25">
      <c r="B17" t="s">
        <v>140</v>
      </c>
      <c r="C17" t="s">
        <v>139</v>
      </c>
      <c r="D17" t="e">
        <f>+VLOOKUP(B17,'LISTADO DE PRECIOS'!$B$3:$D$37,3,FALSE)</f>
        <v>#N/A</v>
      </c>
      <c r="E17" s="57"/>
    </row>
    <row r="18" spans="2:5" hidden="1" x14ac:dyDescent="0.25">
      <c r="B18" t="s">
        <v>9</v>
      </c>
      <c r="C18" t="s">
        <v>95</v>
      </c>
      <c r="D18" t="str">
        <f>+VLOOKUP(B18,'LISTADO DE PRECIOS'!$B$3:$D$37,3,FALSE)</f>
        <v>CAJA</v>
      </c>
    </row>
    <row r="19" spans="2:5" hidden="1" x14ac:dyDescent="0.25">
      <c r="B19" t="s">
        <v>11</v>
      </c>
      <c r="C19" t="s">
        <v>96</v>
      </c>
      <c r="D19" t="str">
        <f>+VLOOKUP(B19,'LISTADO DE PRECIOS'!$B$3:$D$37,3,FALSE)</f>
        <v>CAJA</v>
      </c>
    </row>
    <row r="20" spans="2:5" hidden="1" x14ac:dyDescent="0.25">
      <c r="B20" t="s">
        <v>12</v>
      </c>
      <c r="C20" t="s">
        <v>97</v>
      </c>
      <c r="D20" t="str">
        <f>+VLOOKUP(B20,'LISTADO DE PRECIOS'!$B$3:$D$37,3,FALSE)</f>
        <v>CAJA</v>
      </c>
    </row>
    <row r="21" spans="2:5" hidden="1" x14ac:dyDescent="0.25">
      <c r="B21" t="s">
        <v>8</v>
      </c>
      <c r="C21" t="s">
        <v>98</v>
      </c>
      <c r="D21" t="str">
        <f>+VLOOKUP(B21,'LISTADO DE PRECIOS'!$B$3:$D$37,3,FALSE)</f>
        <v>CAJA</v>
      </c>
    </row>
    <row r="22" spans="2:5" hidden="1" x14ac:dyDescent="0.25">
      <c r="B22" t="s">
        <v>10</v>
      </c>
      <c r="C22" t="s">
        <v>99</v>
      </c>
      <c r="D22" t="str">
        <f>+VLOOKUP(B22,'LISTADO DE PRECIOS'!$B$3:$D$37,3,FALSE)</f>
        <v>CAJA</v>
      </c>
    </row>
    <row r="23" spans="2:5" x14ac:dyDescent="0.25">
      <c r="B23" s="57" t="s">
        <v>78</v>
      </c>
      <c r="C23" s="57" t="s">
        <v>77</v>
      </c>
      <c r="D23" s="57" t="e">
        <f>+VLOOKUP(B23,'LISTADO DE PRECIOS'!$B$3:$D$37,3,FALSE)</f>
        <v>#N/A</v>
      </c>
      <c r="E23" s="57"/>
    </row>
    <row r="24" spans="2:5" hidden="1" x14ac:dyDescent="0.25">
      <c r="B24" t="s">
        <v>20</v>
      </c>
      <c r="C24" t="s">
        <v>102</v>
      </c>
      <c r="D24" t="str">
        <f>+VLOOKUP(B24,'LISTADO DE PRECIOS'!$B$3:$D$37,3,FALSE)</f>
        <v>CAJA</v>
      </c>
    </row>
    <row r="25" spans="2:5" hidden="1" x14ac:dyDescent="0.25">
      <c r="B25" t="s">
        <v>18</v>
      </c>
      <c r="C25" t="s">
        <v>103</v>
      </c>
      <c r="D25" t="str">
        <f>+VLOOKUP(B25,'LISTADO DE PRECIOS'!$B$3:$D$37,3,FALSE)</f>
        <v>CAJA</v>
      </c>
    </row>
    <row r="26" spans="2:5" hidden="1" x14ac:dyDescent="0.25">
      <c r="B26" t="s">
        <v>17</v>
      </c>
      <c r="C26" t="s">
        <v>104</v>
      </c>
      <c r="D26" t="str">
        <f>+VLOOKUP(B26,'LISTADO DE PRECIOS'!$B$3:$D$37,3,FALSE)</f>
        <v>CAJA</v>
      </c>
    </row>
    <row r="27" spans="2:5" hidden="1" x14ac:dyDescent="0.25">
      <c r="B27" t="s">
        <v>19</v>
      </c>
      <c r="C27" t="s">
        <v>105</v>
      </c>
      <c r="D27" t="str">
        <f>+VLOOKUP(B27,'LISTADO DE PRECIOS'!$B$3:$D$37,3,FALSE)</f>
        <v>CAJA</v>
      </c>
    </row>
    <row r="28" spans="2:5" x14ac:dyDescent="0.25">
      <c r="B28" t="s">
        <v>137</v>
      </c>
      <c r="C28" t="s">
        <v>136</v>
      </c>
      <c r="D28" t="str">
        <f>+VLOOKUP(B28,'LISTADO DE PRECIOS'!$B$3:$D$37,3,FALSE)</f>
        <v>JABA</v>
      </c>
    </row>
    <row r="29" spans="2:5" hidden="1" x14ac:dyDescent="0.25">
      <c r="B29" t="s">
        <v>16</v>
      </c>
      <c r="C29" t="s">
        <v>108</v>
      </c>
      <c r="D29" t="str">
        <f>+VLOOKUP(B29,'LISTADO DE PRECIOS'!$B$3:$D$37,3,FALSE)</f>
        <v>CAJA</v>
      </c>
    </row>
    <row r="30" spans="2:5" hidden="1" x14ac:dyDescent="0.25">
      <c r="B30" t="s">
        <v>24</v>
      </c>
      <c r="C30" t="s">
        <v>109</v>
      </c>
      <c r="D30" t="str">
        <f>+VLOOKUP(B30,'LISTADO DE PRECIOS'!$B$3:$D$37,3,FALSE)</f>
        <v>JABA</v>
      </c>
    </row>
    <row r="31" spans="2:5" x14ac:dyDescent="0.25">
      <c r="B31" s="57" t="s">
        <v>101</v>
      </c>
      <c r="C31" s="57" t="s">
        <v>100</v>
      </c>
      <c r="D31" s="57" t="e">
        <f>+VLOOKUP(B31,'LISTADO DE PRECIOS'!$B$3:$D$37,3,FALSE)</f>
        <v>#N/A</v>
      </c>
      <c r="E31" s="30"/>
    </row>
    <row r="32" spans="2:5" x14ac:dyDescent="0.25">
      <c r="B32" s="57" t="s">
        <v>125</v>
      </c>
      <c r="C32" s="57" t="s">
        <v>124</v>
      </c>
      <c r="D32" s="57" t="e">
        <f>+VLOOKUP(B32,'LISTADO DE PRECIOS'!$B$3:$D$37,3,FALSE)</f>
        <v>#N/A</v>
      </c>
    </row>
    <row r="33" spans="2:4" x14ac:dyDescent="0.25">
      <c r="B33" s="57" t="s">
        <v>127</v>
      </c>
      <c r="C33" s="57" t="s">
        <v>126</v>
      </c>
      <c r="D33" s="57" t="e">
        <f>+VLOOKUP(B33,'LISTADO DE PRECIOS'!$B$3:$D$37,3,FALSE)</f>
        <v>#N/A</v>
      </c>
    </row>
    <row r="34" spans="2:4" x14ac:dyDescent="0.25">
      <c r="B34" s="57" t="s">
        <v>129</v>
      </c>
      <c r="C34" s="57" t="s">
        <v>128</v>
      </c>
      <c r="D34" s="57" t="e">
        <f>+VLOOKUP(B34,'LISTADO DE PRECIOS'!$B$3:$D$37,3,FALSE)</f>
        <v>#N/A</v>
      </c>
    </row>
    <row r="35" spans="2:4" x14ac:dyDescent="0.25">
      <c r="B35" t="s">
        <v>143</v>
      </c>
      <c r="C35" t="s">
        <v>142</v>
      </c>
      <c r="D35" t="e">
        <f>+VLOOKUP(B35,'LISTADO DE PRECIOS'!$B$3:$D$37,3,FALSE)</f>
        <v>#N/A</v>
      </c>
    </row>
    <row r="36" spans="2:4" hidden="1" x14ac:dyDescent="0.25">
      <c r="B36" t="s">
        <v>22</v>
      </c>
      <c r="C36" t="s">
        <v>119</v>
      </c>
      <c r="D36" t="str">
        <f>+VLOOKUP(B36,'LISTADO DE PRECIOS'!$B$3:$D$37,3,FALSE)</f>
        <v>JABA</v>
      </c>
    </row>
    <row r="37" spans="2:4" hidden="1" x14ac:dyDescent="0.25">
      <c r="B37" t="s">
        <v>21</v>
      </c>
      <c r="C37" t="s">
        <v>120</v>
      </c>
      <c r="D37" t="str">
        <f>+VLOOKUP(B37,'LISTADO DE PRECIOS'!$B$3:$D$37,3,FALSE)</f>
        <v>JABA</v>
      </c>
    </row>
    <row r="38" spans="2:4" x14ac:dyDescent="0.25">
      <c r="B38" t="s">
        <v>147</v>
      </c>
      <c r="C38" t="s">
        <v>146</v>
      </c>
      <c r="D38" t="str">
        <f>+VLOOKUP(B38,'LISTADO DE PRECIOS'!$B$3:$D$37,3,FALSE)</f>
        <v>CAJA</v>
      </c>
    </row>
    <row r="39" spans="2:4" hidden="1" x14ac:dyDescent="0.25">
      <c r="B39" t="s">
        <v>14</v>
      </c>
      <c r="C39" t="s">
        <v>123</v>
      </c>
      <c r="D39" t="str">
        <f>+VLOOKUP(B39,'LISTADO DE PRECIOS'!$B$3:$D$37,3,FALSE)</f>
        <v>CAJA</v>
      </c>
    </row>
    <row r="40" spans="2:4" x14ac:dyDescent="0.25">
      <c r="B40" t="s">
        <v>107</v>
      </c>
      <c r="C40" t="s">
        <v>106</v>
      </c>
      <c r="D40" t="str">
        <f>+VLOOKUP(B40,'LISTADO DE PRECIOS'!$B$3:$D$37,3,FALSE)</f>
        <v>CAJA</v>
      </c>
    </row>
    <row r="41" spans="2:4" x14ac:dyDescent="0.25">
      <c r="B41" t="s">
        <v>145</v>
      </c>
      <c r="C41" t="s">
        <v>144</v>
      </c>
      <c r="D41" t="str">
        <f>+VLOOKUP(B41,'LISTADO DE PRECIOS'!$B$3:$D$37,3,FALSE)</f>
        <v>CAJA</v>
      </c>
    </row>
    <row r="42" spans="2:4" x14ac:dyDescent="0.25">
      <c r="B42" s="57" t="s">
        <v>87</v>
      </c>
      <c r="C42" s="57" t="s">
        <v>86</v>
      </c>
      <c r="D42" s="57" t="e">
        <f>+VLOOKUP(B42,'LISTADO DE PRECIOS'!$B$3:$D$37,3,FALSE)</f>
        <v>#N/A</v>
      </c>
    </row>
    <row r="43" spans="2:4" hidden="1" x14ac:dyDescent="0.25">
      <c r="B43" t="s">
        <v>4</v>
      </c>
      <c r="C43" t="s">
        <v>130</v>
      </c>
      <c r="D43" t="str">
        <f>+VLOOKUP(B43,'LISTADO DE PRECIOS'!$B$3:$D$37,3,FALSE)</f>
        <v>CAJA</v>
      </c>
    </row>
    <row r="44" spans="2:4" hidden="1" x14ac:dyDescent="0.25">
      <c r="B44" t="s">
        <v>25</v>
      </c>
      <c r="C44" t="s">
        <v>131</v>
      </c>
      <c r="D44" t="str">
        <f>+VLOOKUP(B44,'LISTADO DE PRECIOS'!$B$3:$D$37,3,FALSE)</f>
        <v>JABA</v>
      </c>
    </row>
    <row r="45" spans="2:4" x14ac:dyDescent="0.25">
      <c r="B45" s="57" t="s">
        <v>3</v>
      </c>
      <c r="C45" s="57" t="s">
        <v>112</v>
      </c>
      <c r="D45" s="57" t="e">
        <f>+VLOOKUP(B45,'LISTADO DE PRECIOS'!$B$3:$D$37,3,FALSE)</f>
        <v>#N/A</v>
      </c>
    </row>
    <row r="46" spans="2:4" x14ac:dyDescent="0.25">
      <c r="B46" s="57" t="s">
        <v>92</v>
      </c>
      <c r="C46" s="57" t="s">
        <v>91</v>
      </c>
      <c r="D46" s="57" t="e">
        <f>+VLOOKUP(B46,'LISTADO DE PRECIOS'!$B$3:$D$37,3,FALSE)</f>
        <v>#N/A</v>
      </c>
    </row>
    <row r="47" spans="2:4" x14ac:dyDescent="0.25">
      <c r="B47" s="57" t="s">
        <v>114</v>
      </c>
      <c r="C47" s="57" t="s">
        <v>113</v>
      </c>
      <c r="D47" s="57" t="e">
        <f>+VLOOKUP(B47,'LISTADO DE PRECIOS'!$B$3:$D$37,3,FALSE)</f>
        <v>#N/A</v>
      </c>
    </row>
    <row r="48" spans="2:4" hidden="1" x14ac:dyDescent="0.25">
      <c r="B48" t="s">
        <v>15</v>
      </c>
      <c r="C48" t="s">
        <v>138</v>
      </c>
      <c r="D48" t="str">
        <f>+VLOOKUP(B48,'LISTADO DE PRECIOS'!$B$3:$D$37,3,FALSE)</f>
        <v>CAJA</v>
      </c>
    </row>
    <row r="49" spans="2:4" x14ac:dyDescent="0.25">
      <c r="B49" s="57" t="s">
        <v>116</v>
      </c>
      <c r="C49" s="57" t="s">
        <v>115</v>
      </c>
      <c r="D49" s="57" t="e">
        <f>+VLOOKUP(B49,'LISTADO DE PRECIOS'!$B$3:$D$37,3,FALSE)</f>
        <v>#N/A</v>
      </c>
    </row>
    <row r="50" spans="2:4" hidden="1" x14ac:dyDescent="0.25">
      <c r="B50" t="s">
        <v>6</v>
      </c>
      <c r="C50" t="s">
        <v>141</v>
      </c>
      <c r="D50" t="str">
        <f>+VLOOKUP(B50,'LISTADO DE PRECIOS'!$B$3:$D$37,3,FALSE)</f>
        <v>CAJA</v>
      </c>
    </row>
    <row r="51" spans="2:4" x14ac:dyDescent="0.25">
      <c r="B51" s="57" t="s">
        <v>118</v>
      </c>
      <c r="C51" s="57" t="s">
        <v>117</v>
      </c>
      <c r="D51" s="57" t="e">
        <f>+VLOOKUP(B51,'LISTADO DE PRECIOS'!$B$3:$D$37,3,FALSE)</f>
        <v>#N/A</v>
      </c>
    </row>
    <row r="52" spans="2:4" x14ac:dyDescent="0.25">
      <c r="B52" s="30" t="s">
        <v>111</v>
      </c>
      <c r="C52" s="30" t="s">
        <v>110</v>
      </c>
      <c r="D52" s="30" t="e">
        <f>+VLOOKUP(B52,'LISTADO DE PRECIOS'!$B$3:$D$37,3,FALSE)</f>
        <v>#N/A</v>
      </c>
    </row>
    <row r="53" spans="2:4" x14ac:dyDescent="0.25">
      <c r="B53" t="s">
        <v>122</v>
      </c>
      <c r="C53" t="s">
        <v>121</v>
      </c>
      <c r="D53" t="str">
        <f>+VLOOKUP(B53,'LISTADO DE PRECIOS'!$B$3:$D$37,3,FALSE)</f>
        <v>CAJA</v>
      </c>
    </row>
  </sheetData>
  <autoFilter ref="B1:D53">
    <filterColumn colId="2">
      <filters>
        <filter val="#N/A"/>
      </filters>
    </filterColumn>
    <sortState ref="B4:D53">
      <sortCondition ref="C1:C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 DE PRECIOS</vt:lpstr>
      <vt:lpstr>RANGOS DE CLIENTES </vt:lpstr>
      <vt:lpstr>Hoja5</vt:lpstr>
      <vt:lpstr>Hoja4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FDD3</dc:creator>
  <cp:lastModifiedBy>FDD3</cp:lastModifiedBy>
  <dcterms:created xsi:type="dcterms:W3CDTF">2026-02-06T20:13:49Z</dcterms:created>
  <dcterms:modified xsi:type="dcterms:W3CDTF">2026-02-06T22:26:18Z</dcterms:modified>
</cp:coreProperties>
</file>